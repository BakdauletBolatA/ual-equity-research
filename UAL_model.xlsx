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acos/Library/Application Support/Claude/scratch-workspaces/731f3dca-6cdd-45a1-9ee5-aaae85f850ee/bf839304-a09d-4ff5-a2a5-e8c96b2a4b65/scratch-2026-10-14-0d4ab9/"/>
    </mc:Choice>
  </mc:AlternateContent>
  <xr:revisionPtr revIDLastSave="0" documentId="11_86F3E75ACA684D0080E0D817FD3E58127387A683" xr6:coauthVersionLast="47" xr6:coauthVersionMax="47" xr10:uidLastSave="{00000000-0000-0000-0000-000000000000}"/>
  <bookViews>
    <workbookView xWindow="0" yWindow="0" windowWidth="27040" windowHeight="17560" xr2:uid="{00000000-000D-0000-FFFF-FFFF00000000}"/>
  </bookViews>
  <sheets>
    <sheet name="README" sheetId="1" r:id="rId1"/>
    <sheet name="Hist" sheetId="2" r:id="rId2"/>
    <sheet name="Metrics" sheetId="3" r:id="rId3"/>
    <sheet name="Assumptions" sheetId="4" r:id="rId4"/>
    <sheet name="Beta" sheetId="5" r:id="rId5"/>
    <sheet name="WACC" sheetId="6" r:id="rId6"/>
    <sheet name="DCF" sheetId="7" r:id="rId7"/>
    <sheet name="ReverseDCF" sheetId="8" r:id="rId8"/>
    <sheet name="Multiples" sheetId="9" r:id="rId9"/>
    <sheet name="Scenarios" sheetId="10" r:id="rId10"/>
    <sheet name="Sensitivity" sheetId="11" r:id="rId11"/>
    <sheet name="Debt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2" l="1"/>
  <c r="H33" i="12"/>
  <c r="G33" i="12"/>
  <c r="F33" i="12"/>
  <c r="E33" i="12"/>
  <c r="D33" i="12"/>
  <c r="C33" i="12"/>
  <c r="H9" i="12"/>
  <c r="G9" i="12"/>
  <c r="F9" i="12"/>
  <c r="E9" i="12"/>
  <c r="D9" i="12"/>
  <c r="C9" i="12"/>
  <c r="I8" i="12"/>
  <c r="I7" i="12"/>
  <c r="I6" i="12"/>
  <c r="I5" i="12"/>
  <c r="I4" i="12"/>
  <c r="I9" i="12" s="1"/>
  <c r="E4" i="10"/>
  <c r="D4" i="10"/>
  <c r="C4" i="10"/>
  <c r="E47" i="9"/>
  <c r="G46" i="9"/>
  <c r="G45" i="9"/>
  <c r="F45" i="9"/>
  <c r="E45" i="9"/>
  <c r="D45" i="9"/>
  <c r="C45" i="9"/>
  <c r="D40" i="9"/>
  <c r="C40" i="9"/>
  <c r="C47" i="9" s="1"/>
  <c r="H39" i="9"/>
  <c r="G39" i="9"/>
  <c r="F39" i="9"/>
  <c r="E39" i="9"/>
  <c r="E40" i="9" s="1"/>
  <c r="D39" i="9"/>
  <c r="C39" i="9"/>
  <c r="H38" i="9"/>
  <c r="G38" i="9"/>
  <c r="G40" i="9" s="1"/>
  <c r="F38" i="9"/>
  <c r="E38" i="9"/>
  <c r="E46" i="9" s="1"/>
  <c r="D38" i="9"/>
  <c r="C38" i="9"/>
  <c r="C46" i="9" s="1"/>
  <c r="F32" i="9"/>
  <c r="H31" i="9"/>
  <c r="I31" i="9" s="1"/>
  <c r="G31" i="9"/>
  <c r="F31" i="9"/>
  <c r="E31" i="9"/>
  <c r="D31" i="9"/>
  <c r="C31" i="9"/>
  <c r="E30" i="9"/>
  <c r="D30" i="9"/>
  <c r="H29" i="9"/>
  <c r="G29" i="9"/>
  <c r="F29" i="9"/>
  <c r="D29" i="9"/>
  <c r="C29" i="9"/>
  <c r="F28" i="9"/>
  <c r="E28" i="9"/>
  <c r="C28" i="9"/>
  <c r="E27" i="9"/>
  <c r="D27" i="9"/>
  <c r="C27" i="9"/>
  <c r="H26" i="9"/>
  <c r="G26" i="9"/>
  <c r="E26" i="9"/>
  <c r="D26" i="9"/>
  <c r="C26" i="9"/>
  <c r="C25" i="9"/>
  <c r="H24" i="9"/>
  <c r="F24" i="9"/>
  <c r="H23" i="9"/>
  <c r="G23" i="9"/>
  <c r="F23" i="9"/>
  <c r="E23" i="9"/>
  <c r="D23" i="9"/>
  <c r="C23" i="9"/>
  <c r="F22" i="9"/>
  <c r="F25" i="9" s="1"/>
  <c r="D22" i="9"/>
  <c r="D25" i="9" s="1"/>
  <c r="C22" i="9"/>
  <c r="H21" i="9"/>
  <c r="H22" i="9" s="1"/>
  <c r="H25" i="9" s="1"/>
  <c r="G21" i="9"/>
  <c r="F21" i="9"/>
  <c r="F30" i="9" s="1"/>
  <c r="E21" i="9"/>
  <c r="D21" i="9"/>
  <c r="D28" i="9" s="1"/>
  <c r="C21" i="9"/>
  <c r="C30" i="9" s="1"/>
  <c r="D189" i="8"/>
  <c r="E186" i="8"/>
  <c r="D186" i="8"/>
  <c r="D187" i="8" s="1"/>
  <c r="C184" i="8"/>
  <c r="C182" i="8"/>
  <c r="J172" i="8"/>
  <c r="I172" i="8"/>
  <c r="H172" i="8"/>
  <c r="G172" i="8"/>
  <c r="F172" i="8"/>
  <c r="E172" i="8"/>
  <c r="D172" i="8"/>
  <c r="C172" i="8"/>
  <c r="C170" i="8"/>
  <c r="D170" i="8" s="1"/>
  <c r="D148" i="8"/>
  <c r="D145" i="8"/>
  <c r="D146" i="8" s="1"/>
  <c r="C143" i="8"/>
  <c r="C141" i="8"/>
  <c r="J131" i="8"/>
  <c r="I131" i="8"/>
  <c r="H131" i="8"/>
  <c r="G131" i="8"/>
  <c r="F131" i="8"/>
  <c r="E131" i="8"/>
  <c r="D131" i="8"/>
  <c r="C131" i="8"/>
  <c r="D129" i="8"/>
  <c r="C129" i="8"/>
  <c r="D107" i="8"/>
  <c r="D105" i="8"/>
  <c r="E104" i="8"/>
  <c r="F104" i="8" s="1"/>
  <c r="D104" i="8"/>
  <c r="C102" i="8"/>
  <c r="C100" i="8"/>
  <c r="J90" i="8"/>
  <c r="I90" i="8"/>
  <c r="H90" i="8"/>
  <c r="G90" i="8"/>
  <c r="F90" i="8"/>
  <c r="E90" i="8"/>
  <c r="D90" i="8"/>
  <c r="C90" i="8"/>
  <c r="C88" i="8"/>
  <c r="D88" i="8" s="1"/>
  <c r="D66" i="8"/>
  <c r="D64" i="8"/>
  <c r="D63" i="8"/>
  <c r="E63" i="8" s="1"/>
  <c r="C61" i="8"/>
  <c r="C59" i="8"/>
  <c r="J49" i="8"/>
  <c r="I49" i="8"/>
  <c r="H49" i="8"/>
  <c r="G49" i="8"/>
  <c r="F49" i="8"/>
  <c r="E49" i="8"/>
  <c r="D49" i="8"/>
  <c r="C49" i="8"/>
  <c r="D47" i="8"/>
  <c r="C47" i="8"/>
  <c r="D25" i="8"/>
  <c r="D22" i="8"/>
  <c r="C20" i="8"/>
  <c r="C18" i="8"/>
  <c r="J8" i="8"/>
  <c r="I8" i="8"/>
  <c r="H8" i="8"/>
  <c r="G8" i="8"/>
  <c r="F8" i="8"/>
  <c r="E8" i="8"/>
  <c r="D8" i="8"/>
  <c r="C8" i="8"/>
  <c r="C6" i="8"/>
  <c r="D6" i="8" s="1"/>
  <c r="D105" i="7"/>
  <c r="E103" i="7"/>
  <c r="F102" i="7"/>
  <c r="E102" i="7"/>
  <c r="D102" i="7"/>
  <c r="D103" i="7" s="1"/>
  <c r="C100" i="7"/>
  <c r="C98" i="7"/>
  <c r="J88" i="7"/>
  <c r="I88" i="7"/>
  <c r="H88" i="7"/>
  <c r="G88" i="7"/>
  <c r="F88" i="7"/>
  <c r="E88" i="7"/>
  <c r="E10" i="10" s="1"/>
  <c r="D88" i="7"/>
  <c r="C88" i="7"/>
  <c r="C87" i="7"/>
  <c r="C86" i="7"/>
  <c r="D86" i="7" s="1"/>
  <c r="D64" i="7"/>
  <c r="D61" i="7"/>
  <c r="E61" i="7" s="1"/>
  <c r="C59" i="7"/>
  <c r="C57" i="7"/>
  <c r="J47" i="7"/>
  <c r="I47" i="7"/>
  <c r="H47" i="7"/>
  <c r="G47" i="7"/>
  <c r="F47" i="7"/>
  <c r="E47" i="7"/>
  <c r="D10" i="10" s="1"/>
  <c r="D47" i="7"/>
  <c r="C47" i="7"/>
  <c r="C45" i="7"/>
  <c r="D45" i="7" s="1"/>
  <c r="D23" i="7"/>
  <c r="E20" i="7"/>
  <c r="E21" i="7" s="1"/>
  <c r="D20" i="7"/>
  <c r="D21" i="7" s="1"/>
  <c r="C18" i="7"/>
  <c r="C16" i="7"/>
  <c r="J6" i="7"/>
  <c r="I6" i="7"/>
  <c r="H6" i="7"/>
  <c r="G6" i="7"/>
  <c r="F6" i="7"/>
  <c r="E6" i="7"/>
  <c r="C10" i="10" s="1"/>
  <c r="D6" i="7"/>
  <c r="C6" i="7"/>
  <c r="C4" i="7"/>
  <c r="D4" i="7" s="1"/>
  <c r="C10" i="6"/>
  <c r="C8" i="6"/>
  <c r="C9" i="6" s="1"/>
  <c r="C6" i="6"/>
  <c r="C4" i="6"/>
  <c r="E64" i="5"/>
  <c r="D64" i="5"/>
  <c r="E63" i="5"/>
  <c r="D63" i="5"/>
  <c r="E62" i="5"/>
  <c r="D62" i="5"/>
  <c r="E61" i="5"/>
  <c r="D61" i="5"/>
  <c r="E60" i="5"/>
  <c r="D60" i="5"/>
  <c r="E59" i="5"/>
  <c r="D59" i="5"/>
  <c r="E58" i="5"/>
  <c r="D58" i="5"/>
  <c r="E57" i="5"/>
  <c r="D57" i="5"/>
  <c r="E56" i="5"/>
  <c r="D56" i="5"/>
  <c r="E55" i="5"/>
  <c r="D55" i="5"/>
  <c r="E54" i="5"/>
  <c r="D54" i="5"/>
  <c r="E53" i="5"/>
  <c r="D53" i="5"/>
  <c r="E52" i="5"/>
  <c r="D52" i="5"/>
  <c r="E51" i="5"/>
  <c r="D51" i="5"/>
  <c r="E50" i="5"/>
  <c r="D50" i="5"/>
  <c r="E49" i="5"/>
  <c r="D49" i="5"/>
  <c r="E48" i="5"/>
  <c r="D48" i="5"/>
  <c r="E47" i="5"/>
  <c r="D47" i="5"/>
  <c r="E46" i="5"/>
  <c r="D46" i="5"/>
  <c r="E45" i="5"/>
  <c r="D45" i="5"/>
  <c r="E44" i="5"/>
  <c r="D44" i="5"/>
  <c r="E43" i="5"/>
  <c r="D43" i="5"/>
  <c r="E42" i="5"/>
  <c r="D42" i="5"/>
  <c r="E41" i="5"/>
  <c r="D41" i="5"/>
  <c r="E40" i="5"/>
  <c r="D40" i="5"/>
  <c r="E39" i="5"/>
  <c r="D39" i="5"/>
  <c r="E38" i="5"/>
  <c r="D38" i="5"/>
  <c r="E37" i="5"/>
  <c r="D37" i="5"/>
  <c r="E36" i="5"/>
  <c r="D36" i="5"/>
  <c r="E35" i="5"/>
  <c r="D35" i="5"/>
  <c r="E34" i="5"/>
  <c r="D34" i="5"/>
  <c r="E33" i="5"/>
  <c r="D33" i="5"/>
  <c r="E32" i="5"/>
  <c r="D32" i="5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C52" i="4"/>
  <c r="C12" i="4"/>
  <c r="K52" i="3"/>
  <c r="I52" i="3"/>
  <c r="H52" i="3"/>
  <c r="G52" i="3"/>
  <c r="F52" i="3"/>
  <c r="E52" i="3"/>
  <c r="D52" i="3"/>
  <c r="C52" i="3"/>
  <c r="G51" i="3"/>
  <c r="D24" i="12" s="1"/>
  <c r="I50" i="3"/>
  <c r="H50" i="3"/>
  <c r="G50" i="3"/>
  <c r="F50" i="3"/>
  <c r="E50" i="3"/>
  <c r="D50" i="3"/>
  <c r="C50" i="3"/>
  <c r="D48" i="3"/>
  <c r="C48" i="3"/>
  <c r="H45" i="3"/>
  <c r="F41" i="9" s="1"/>
  <c r="E45" i="3"/>
  <c r="E48" i="3" s="1"/>
  <c r="D45" i="3"/>
  <c r="K44" i="3"/>
  <c r="J44" i="3"/>
  <c r="J45" i="3" s="1"/>
  <c r="I44" i="3"/>
  <c r="H44" i="3"/>
  <c r="G44" i="3"/>
  <c r="G45" i="3" s="1"/>
  <c r="F44" i="3"/>
  <c r="E44" i="3"/>
  <c r="D44" i="3"/>
  <c r="C44" i="3"/>
  <c r="K43" i="3"/>
  <c r="J43" i="3"/>
  <c r="I43" i="3"/>
  <c r="I45" i="3" s="1"/>
  <c r="H43" i="3"/>
  <c r="G43" i="3"/>
  <c r="F43" i="3"/>
  <c r="E43" i="3"/>
  <c r="D43" i="3"/>
  <c r="C43" i="3"/>
  <c r="C45" i="3" s="1"/>
  <c r="C41" i="9" s="1"/>
  <c r="C42" i="9" s="1"/>
  <c r="H41" i="3"/>
  <c r="G41" i="3"/>
  <c r="D41" i="3"/>
  <c r="F39" i="3"/>
  <c r="F40" i="3" s="1"/>
  <c r="E39" i="3"/>
  <c r="I38" i="3"/>
  <c r="I39" i="3" s="1"/>
  <c r="I40" i="3" s="1"/>
  <c r="H38" i="3"/>
  <c r="H39" i="3" s="1"/>
  <c r="H40" i="3" s="1"/>
  <c r="G38" i="3"/>
  <c r="G39" i="3" s="1"/>
  <c r="G40" i="3" s="1"/>
  <c r="F38" i="3"/>
  <c r="E38" i="3"/>
  <c r="G37" i="3"/>
  <c r="F37" i="3"/>
  <c r="K36" i="3"/>
  <c r="J36" i="3"/>
  <c r="I36" i="3"/>
  <c r="H36" i="3"/>
  <c r="G36" i="3"/>
  <c r="F36" i="3"/>
  <c r="E36" i="3"/>
  <c r="D36" i="3"/>
  <c r="C36" i="3"/>
  <c r="E35" i="3"/>
  <c r="D35" i="3"/>
  <c r="K34" i="3"/>
  <c r="J34" i="3"/>
  <c r="I34" i="3"/>
  <c r="G48" i="9" s="1"/>
  <c r="H34" i="3"/>
  <c r="G34" i="3"/>
  <c r="F34" i="3"/>
  <c r="D48" i="9" s="1"/>
  <c r="E34" i="3"/>
  <c r="D34" i="3"/>
  <c r="C34" i="3"/>
  <c r="H32" i="3"/>
  <c r="F32" i="3"/>
  <c r="E32" i="3"/>
  <c r="L31" i="3"/>
  <c r="K31" i="3"/>
  <c r="J31" i="3"/>
  <c r="I31" i="3"/>
  <c r="H31" i="3"/>
  <c r="K30" i="3"/>
  <c r="J30" i="3"/>
  <c r="J32" i="3" s="1"/>
  <c r="I30" i="3"/>
  <c r="H30" i="3"/>
  <c r="H51" i="3" s="1"/>
  <c r="E24" i="12" s="1"/>
  <c r="G30" i="3"/>
  <c r="F30" i="3"/>
  <c r="D43" i="9" s="1"/>
  <c r="E30" i="3"/>
  <c r="E46" i="3" s="1"/>
  <c r="D30" i="3"/>
  <c r="D51" i="3" s="1"/>
  <c r="C30" i="3"/>
  <c r="C43" i="9" s="1"/>
  <c r="F29" i="3"/>
  <c r="E29" i="3"/>
  <c r="D29" i="3"/>
  <c r="H28" i="3"/>
  <c r="F28" i="3"/>
  <c r="E28" i="3"/>
  <c r="H27" i="3"/>
  <c r="G27" i="3"/>
  <c r="F27" i="3"/>
  <c r="E27" i="3"/>
  <c r="H26" i="3"/>
  <c r="G26" i="3"/>
  <c r="E26" i="3"/>
  <c r="I23" i="3"/>
  <c r="I24" i="3" s="1"/>
  <c r="H23" i="3"/>
  <c r="H24" i="3" s="1"/>
  <c r="K22" i="3"/>
  <c r="H21" i="3"/>
  <c r="F21" i="3"/>
  <c r="K19" i="3"/>
  <c r="H19" i="3"/>
  <c r="I15" i="3"/>
  <c r="H15" i="3"/>
  <c r="G15" i="3"/>
  <c r="F15" i="3"/>
  <c r="E15" i="3"/>
  <c r="D15" i="3"/>
  <c r="I14" i="3"/>
  <c r="H14" i="3"/>
  <c r="G14" i="3"/>
  <c r="F14" i="3"/>
  <c r="E14" i="3"/>
  <c r="D14" i="3"/>
  <c r="C14" i="3"/>
  <c r="K13" i="3"/>
  <c r="J13" i="3"/>
  <c r="I13" i="3"/>
  <c r="H13" i="3"/>
  <c r="G13" i="3"/>
  <c r="F13" i="3"/>
  <c r="E13" i="3"/>
  <c r="D13" i="3"/>
  <c r="C13" i="3"/>
  <c r="K11" i="3"/>
  <c r="J11" i="3"/>
  <c r="I11" i="3"/>
  <c r="H11" i="3"/>
  <c r="G11" i="3"/>
  <c r="F11" i="3"/>
  <c r="E11" i="3"/>
  <c r="D11" i="3"/>
  <c r="C11" i="3"/>
  <c r="K10" i="3"/>
  <c r="J10" i="3"/>
  <c r="I10" i="3"/>
  <c r="H10" i="3"/>
  <c r="H17" i="3" s="1"/>
  <c r="G10" i="3"/>
  <c r="G17" i="3" s="1"/>
  <c r="F10" i="3"/>
  <c r="F17" i="3" s="1"/>
  <c r="E10" i="3"/>
  <c r="D10" i="3"/>
  <c r="D17" i="3" s="1"/>
  <c r="C10" i="3"/>
  <c r="K9" i="3"/>
  <c r="H9" i="3"/>
  <c r="E9" i="3"/>
  <c r="D9" i="3"/>
  <c r="C9" i="3"/>
  <c r="F8" i="3"/>
  <c r="E8" i="3"/>
  <c r="F16" i="3" s="1"/>
  <c r="D8" i="3"/>
  <c r="K7" i="3"/>
  <c r="J7" i="3"/>
  <c r="I7" i="3"/>
  <c r="H7" i="3"/>
  <c r="G7" i="3"/>
  <c r="F7" i="3"/>
  <c r="E7" i="3"/>
  <c r="D7" i="3"/>
  <c r="C7" i="3"/>
  <c r="K6" i="3"/>
  <c r="J6" i="3"/>
  <c r="I6" i="3"/>
  <c r="H6" i="3"/>
  <c r="G6" i="3"/>
  <c r="F6" i="3"/>
  <c r="E6" i="3"/>
  <c r="D6" i="3"/>
  <c r="C6" i="3"/>
  <c r="K5" i="3"/>
  <c r="J5" i="3"/>
  <c r="I5" i="3"/>
  <c r="H5" i="3"/>
  <c r="G5" i="3"/>
  <c r="F5" i="3"/>
  <c r="E5" i="3"/>
  <c r="D5" i="3"/>
  <c r="C5" i="3"/>
  <c r="L60" i="2"/>
  <c r="K59" i="2"/>
  <c r="I59" i="2"/>
  <c r="L58" i="2"/>
  <c r="L57" i="2"/>
  <c r="L56" i="2"/>
  <c r="L55" i="2"/>
  <c r="L54" i="2"/>
  <c r="L53" i="2"/>
  <c r="L52" i="2"/>
  <c r="L51" i="2"/>
  <c r="L50" i="2"/>
  <c r="L43" i="3" s="1"/>
  <c r="L45" i="3" s="1"/>
  <c r="L49" i="2"/>
  <c r="L48" i="2"/>
  <c r="L44" i="3" s="1"/>
  <c r="L46" i="2"/>
  <c r="L45" i="2"/>
  <c r="L44" i="2"/>
  <c r="L43" i="2"/>
  <c r="L42" i="2"/>
  <c r="L40" i="2"/>
  <c r="L39" i="2"/>
  <c r="L37" i="2"/>
  <c r="H45" i="9" s="1"/>
  <c r="H46" i="9" s="1"/>
  <c r="L36" i="2"/>
  <c r="L35" i="2"/>
  <c r="L36" i="3" s="1"/>
  <c r="L34" i="2"/>
  <c r="L33" i="2"/>
  <c r="L32" i="2"/>
  <c r="L31" i="2"/>
  <c r="L30" i="2"/>
  <c r="L29" i="2"/>
  <c r="L28" i="2"/>
  <c r="L27" i="2"/>
  <c r="L30" i="3" s="1"/>
  <c r="L26" i="2"/>
  <c r="L25" i="2"/>
  <c r="L24" i="2"/>
  <c r="L21" i="2"/>
  <c r="L20" i="2"/>
  <c r="K19" i="2"/>
  <c r="K32" i="3" s="1"/>
  <c r="J19" i="2"/>
  <c r="J19" i="3" s="1"/>
  <c r="I19" i="2"/>
  <c r="I20" i="3" s="1"/>
  <c r="H19" i="2"/>
  <c r="G19" i="2"/>
  <c r="G19" i="3" s="1"/>
  <c r="F19" i="2"/>
  <c r="F9" i="3" s="1"/>
  <c r="F12" i="3" s="1"/>
  <c r="E19" i="2"/>
  <c r="D19" i="2"/>
  <c r="D21" i="3" s="1"/>
  <c r="C19" i="2"/>
  <c r="C26" i="3" s="1"/>
  <c r="L18" i="2"/>
  <c r="L17" i="2"/>
  <c r="L16" i="2"/>
  <c r="L6" i="3" s="1"/>
  <c r="L14" i="2"/>
  <c r="L12" i="2"/>
  <c r="L11" i="2"/>
  <c r="L10" i="2"/>
  <c r="L7" i="2"/>
  <c r="L6" i="2"/>
  <c r="L5" i="3" s="1"/>
  <c r="L5" i="2"/>
  <c r="L13" i="3" s="1"/>
  <c r="G41" i="9" l="1"/>
  <c r="I49" i="3"/>
  <c r="F23" i="12" s="1"/>
  <c r="I47" i="3"/>
  <c r="I48" i="3"/>
  <c r="F22" i="12" s="1"/>
  <c r="H43" i="9"/>
  <c r="L51" i="3"/>
  <c r="G24" i="12" s="1"/>
  <c r="L46" i="3"/>
  <c r="G21" i="12" s="1"/>
  <c r="D16" i="3"/>
  <c r="E45" i="7"/>
  <c r="E41" i="9"/>
  <c r="G48" i="3"/>
  <c r="D22" i="12" s="1"/>
  <c r="G49" i="3"/>
  <c r="D23" i="12" s="1"/>
  <c r="G46" i="3"/>
  <c r="D21" i="12" s="1"/>
  <c r="H41" i="9"/>
  <c r="L47" i="3"/>
  <c r="L48" i="3"/>
  <c r="G22" i="12" s="1"/>
  <c r="L7" i="3"/>
  <c r="J8" i="3"/>
  <c r="D26" i="3"/>
  <c r="G43" i="9"/>
  <c r="I46" i="3"/>
  <c r="F21" i="12" s="1"/>
  <c r="C48" i="9"/>
  <c r="C35" i="3"/>
  <c r="F45" i="3"/>
  <c r="C91" i="7"/>
  <c r="C99" i="7" s="1"/>
  <c r="B31" i="11"/>
  <c r="B30" i="11"/>
  <c r="C89" i="8"/>
  <c r="C130" i="8"/>
  <c r="C7" i="8"/>
  <c r="C48" i="8"/>
  <c r="C171" i="8"/>
  <c r="G20" i="3"/>
  <c r="I22" i="3"/>
  <c r="C27" i="3"/>
  <c r="C28" i="3"/>
  <c r="K29" i="3"/>
  <c r="K35" i="3"/>
  <c r="H37" i="3"/>
  <c r="H29" i="3"/>
  <c r="C8" i="3"/>
  <c r="C12" i="3" s="1"/>
  <c r="K8" i="3"/>
  <c r="K12" i="3" s="1"/>
  <c r="I9" i="3"/>
  <c r="D12" i="3"/>
  <c r="I19" i="3"/>
  <c r="H20" i="3"/>
  <c r="G21" i="3"/>
  <c r="J22" i="3"/>
  <c r="D28" i="3"/>
  <c r="C29" i="3"/>
  <c r="C32" i="3"/>
  <c r="L34" i="3"/>
  <c r="J9" i="3"/>
  <c r="E12" i="3"/>
  <c r="E16" i="3"/>
  <c r="D87" i="7"/>
  <c r="C89" i="7"/>
  <c r="G102" i="7"/>
  <c r="F103" i="7"/>
  <c r="H49" i="3"/>
  <c r="E23" i="12" s="1"/>
  <c r="E62" i="7"/>
  <c r="F61" i="7"/>
  <c r="C134" i="8"/>
  <c r="C142" i="8" s="1"/>
  <c r="C93" i="8"/>
  <c r="C101" i="8" s="1"/>
  <c r="C175" i="8"/>
  <c r="C183" i="8" s="1"/>
  <c r="C52" i="8"/>
  <c r="C50" i="7"/>
  <c r="C58" i="7" s="1"/>
  <c r="C9" i="7"/>
  <c r="I41" i="3"/>
  <c r="J28" i="3"/>
  <c r="J21" i="3"/>
  <c r="C94" i="8"/>
  <c r="D94" i="8" s="1"/>
  <c r="E94" i="8" s="1"/>
  <c r="F94" i="8" s="1"/>
  <c r="G94" i="8" s="1"/>
  <c r="H94" i="8" s="1"/>
  <c r="I94" i="8" s="1"/>
  <c r="J94" i="8" s="1"/>
  <c r="C176" i="8"/>
  <c r="D176" i="8" s="1"/>
  <c r="C92" i="7"/>
  <c r="D92" i="7" s="1"/>
  <c r="E92" i="7" s="1"/>
  <c r="F92" i="7" s="1"/>
  <c r="G92" i="7" s="1"/>
  <c r="H92" i="7" s="1"/>
  <c r="I92" i="7" s="1"/>
  <c r="J92" i="7" s="1"/>
  <c r="C12" i="8"/>
  <c r="D12" i="8" s="1"/>
  <c r="E12" i="8" s="1"/>
  <c r="F12" i="8" s="1"/>
  <c r="G12" i="8" s="1"/>
  <c r="H12" i="8" s="1"/>
  <c r="I12" i="8" s="1"/>
  <c r="J12" i="8" s="1"/>
  <c r="C135" i="8"/>
  <c r="D135" i="8" s="1"/>
  <c r="E135" i="8" s="1"/>
  <c r="F135" i="8" s="1"/>
  <c r="G135" i="8" s="1"/>
  <c r="H135" i="8" s="1"/>
  <c r="I135" i="8" s="1"/>
  <c r="J135" i="8" s="1"/>
  <c r="C53" i="8"/>
  <c r="D53" i="8" s="1"/>
  <c r="E53" i="8" s="1"/>
  <c r="F53" i="8" s="1"/>
  <c r="G53" i="8" s="1"/>
  <c r="H53" i="8" s="1"/>
  <c r="I53" i="8" s="1"/>
  <c r="J53" i="8" s="1"/>
  <c r="C10" i="7"/>
  <c r="D10" i="7" s="1"/>
  <c r="I17" i="3"/>
  <c r="J20" i="3"/>
  <c r="I21" i="3"/>
  <c r="D32" i="3"/>
  <c r="D46" i="3"/>
  <c r="C17" i="7"/>
  <c r="F20" i="7"/>
  <c r="C51" i="7"/>
  <c r="D51" i="7" s="1"/>
  <c r="E51" i="7" s="1"/>
  <c r="F51" i="7" s="1"/>
  <c r="G51" i="7" s="1"/>
  <c r="H51" i="7" s="1"/>
  <c r="I51" i="7" s="1"/>
  <c r="J51" i="7" s="1"/>
  <c r="C11" i="8"/>
  <c r="C19" i="8" s="1"/>
  <c r="E47" i="8"/>
  <c r="G104" i="8"/>
  <c r="F105" i="8"/>
  <c r="C19" i="3"/>
  <c r="K20" i="3"/>
  <c r="K21" i="3"/>
  <c r="I26" i="3"/>
  <c r="G28" i="3"/>
  <c r="E48" i="9"/>
  <c r="G35" i="3"/>
  <c r="F35" i="3"/>
  <c r="I37" i="3"/>
  <c r="E51" i="3"/>
  <c r="I35" i="3"/>
  <c r="C49" i="9"/>
  <c r="C44" i="9"/>
  <c r="C11" i="6"/>
  <c r="C12" i="6" s="1"/>
  <c r="K45" i="3"/>
  <c r="C15" i="6" s="1"/>
  <c r="D62" i="7"/>
  <c r="D23" i="8"/>
  <c r="E22" i="8"/>
  <c r="E37" i="3"/>
  <c r="E41" i="3"/>
  <c r="H8" i="3"/>
  <c r="E19" i="3"/>
  <c r="E20" i="3"/>
  <c r="G22" i="3"/>
  <c r="K26" i="3"/>
  <c r="J27" i="3"/>
  <c r="I28" i="3"/>
  <c r="I29" i="3"/>
  <c r="E43" i="9"/>
  <c r="G32" i="3"/>
  <c r="J35" i="3"/>
  <c r="K37" i="3"/>
  <c r="C46" i="3"/>
  <c r="H3" i="5"/>
  <c r="D37" i="3"/>
  <c r="D27" i="3"/>
  <c r="D20" i="3"/>
  <c r="L19" i="2"/>
  <c r="G8" i="3"/>
  <c r="D19" i="3"/>
  <c r="C20" i="3"/>
  <c r="C21" i="3"/>
  <c r="J26" i="3"/>
  <c r="I27" i="3"/>
  <c r="G29" i="3"/>
  <c r="I32" i="3"/>
  <c r="H35" i="3"/>
  <c r="J37" i="3"/>
  <c r="F41" i="3"/>
  <c r="F26" i="3"/>
  <c r="F19" i="3"/>
  <c r="B34" i="11"/>
  <c r="L50" i="3"/>
  <c r="I8" i="3"/>
  <c r="G9" i="3"/>
  <c r="E17" i="3"/>
  <c r="L11" i="3"/>
  <c r="F20" i="3"/>
  <c r="E21" i="3"/>
  <c r="H22" i="3"/>
  <c r="K27" i="3"/>
  <c r="K28" i="3"/>
  <c r="J29" i="3"/>
  <c r="F43" i="9"/>
  <c r="H46" i="3"/>
  <c r="E21" i="12" s="1"/>
  <c r="H48" i="3"/>
  <c r="E22" i="12" s="1"/>
  <c r="I51" i="3"/>
  <c r="F24" i="12" s="1"/>
  <c r="C5" i="7"/>
  <c r="C46" i="7"/>
  <c r="C144" i="8"/>
  <c r="C103" i="8"/>
  <c r="C62" i="8"/>
  <c r="C19" i="7"/>
  <c r="C21" i="8"/>
  <c r="C185" i="8"/>
  <c r="F51" i="3"/>
  <c r="C24" i="12" s="1"/>
  <c r="F63" i="8"/>
  <c r="E64" i="8"/>
  <c r="E6" i="8"/>
  <c r="E24" i="9"/>
  <c r="E4" i="7"/>
  <c r="E105" i="8"/>
  <c r="C51" i="3"/>
  <c r="C60" i="7"/>
  <c r="E86" i="7"/>
  <c r="C101" i="7"/>
  <c r="E29" i="9"/>
  <c r="I29" i="9" s="1"/>
  <c r="E22" i="9"/>
  <c r="E25" i="9" s="1"/>
  <c r="D24" i="9"/>
  <c r="D32" i="9"/>
  <c r="E129" i="8"/>
  <c r="D136" i="8"/>
  <c r="G28" i="9"/>
  <c r="G30" i="9"/>
  <c r="I30" i="9" s="1"/>
  <c r="G22" i="9"/>
  <c r="I28" i="9"/>
  <c r="C60" i="8"/>
  <c r="F40" i="9"/>
  <c r="F46" i="9"/>
  <c r="E170" i="8"/>
  <c r="F186" i="8"/>
  <c r="E187" i="8"/>
  <c r="C32" i="9"/>
  <c r="C24" i="9"/>
  <c r="G47" i="9"/>
  <c r="G42" i="9"/>
  <c r="D95" i="8"/>
  <c r="H28" i="9"/>
  <c r="E88" i="8"/>
  <c r="G32" i="9"/>
  <c r="H40" i="9"/>
  <c r="D47" i="9"/>
  <c r="H30" i="9"/>
  <c r="H32" i="9"/>
  <c r="E42" i="9"/>
  <c r="E145" i="8"/>
  <c r="D46" i="9"/>
  <c r="D53" i="9" s="1"/>
  <c r="F4" i="10"/>
  <c r="F26" i="9"/>
  <c r="I26" i="9" s="1"/>
  <c r="B32" i="11" l="1"/>
  <c r="B36" i="11" s="1"/>
  <c r="C14" i="12"/>
  <c r="B33" i="11"/>
  <c r="L19" i="3"/>
  <c r="L9" i="3"/>
  <c r="L8" i="3"/>
  <c r="L12" i="3" s="1"/>
  <c r="H104" i="8"/>
  <c r="G105" i="8"/>
  <c r="G61" i="7"/>
  <c r="F62" i="7"/>
  <c r="D171" i="8"/>
  <c r="C173" i="8"/>
  <c r="D41" i="9"/>
  <c r="D42" i="9" s="1"/>
  <c r="F48" i="3"/>
  <c r="C22" i="12" s="1"/>
  <c r="F49" i="3"/>
  <c r="C23" i="12" s="1"/>
  <c r="F46" i="3"/>
  <c r="C21" i="12" s="1"/>
  <c r="E93" i="7"/>
  <c r="F86" i="7"/>
  <c r="L22" i="3"/>
  <c r="C14" i="6"/>
  <c r="C13" i="6"/>
  <c r="D48" i="8"/>
  <c r="C50" i="8"/>
  <c r="F145" i="8"/>
  <c r="E146" i="8"/>
  <c r="D51" i="9"/>
  <c r="E32" i="9"/>
  <c r="E44" i="9"/>
  <c r="E49" i="9"/>
  <c r="F47" i="8"/>
  <c r="E54" i="8"/>
  <c r="D7" i="8"/>
  <c r="C9" i="8"/>
  <c r="F45" i="7"/>
  <c r="E52" i="7"/>
  <c r="L32" i="3"/>
  <c r="H47" i="9"/>
  <c r="H42" i="9"/>
  <c r="E95" i="8"/>
  <c r="F88" i="8"/>
  <c r="D52" i="9"/>
  <c r="F187" i="8"/>
  <c r="G186" i="8"/>
  <c r="E136" i="8"/>
  <c r="F129" i="8"/>
  <c r="D93" i="7"/>
  <c r="D13" i="8"/>
  <c r="H16" i="3"/>
  <c r="H12" i="3"/>
  <c r="D177" i="8"/>
  <c r="E176" i="8"/>
  <c r="F176" i="8" s="1"/>
  <c r="G176" i="8" s="1"/>
  <c r="H176" i="8" s="1"/>
  <c r="I176" i="8" s="1"/>
  <c r="J176" i="8" s="1"/>
  <c r="L37" i="3"/>
  <c r="F170" i="8"/>
  <c r="E177" i="8"/>
  <c r="I32" i="9"/>
  <c r="H48" i="9"/>
  <c r="L35" i="3"/>
  <c r="D130" i="8"/>
  <c r="C132" i="8"/>
  <c r="D52" i="7"/>
  <c r="G25" i="9"/>
  <c r="I25" i="9" s="1"/>
  <c r="G24" i="9"/>
  <c r="I24" i="9" s="1"/>
  <c r="C56" i="9" s="1"/>
  <c r="E13" i="8"/>
  <c r="F6" i="8"/>
  <c r="C5" i="6"/>
  <c r="C7" i="6" s="1"/>
  <c r="H4" i="5"/>
  <c r="H102" i="7"/>
  <c r="G103" i="7"/>
  <c r="D89" i="8"/>
  <c r="C91" i="8"/>
  <c r="G49" i="9"/>
  <c r="G44" i="9"/>
  <c r="F22" i="8"/>
  <c r="E23" i="8"/>
  <c r="G20" i="7"/>
  <c r="F21" i="7"/>
  <c r="E10" i="7"/>
  <c r="F10" i="7" s="1"/>
  <c r="G10" i="7" s="1"/>
  <c r="H10" i="7" s="1"/>
  <c r="I10" i="7" s="1"/>
  <c r="J10" i="7" s="1"/>
  <c r="D11" i="7"/>
  <c r="L20" i="3"/>
  <c r="L29" i="3"/>
  <c r="I54" i="3"/>
  <c r="I55" i="3"/>
  <c r="B35" i="11"/>
  <c r="L26" i="3"/>
  <c r="C133" i="8"/>
  <c r="C92" i="8"/>
  <c r="C174" i="8"/>
  <c r="C51" i="8"/>
  <c r="C10" i="8"/>
  <c r="C49" i="7"/>
  <c r="C90" i="7"/>
  <c r="C8" i="7"/>
  <c r="I16" i="3"/>
  <c r="I12" i="3"/>
  <c r="F47" i="9"/>
  <c r="E52" i="9" s="1"/>
  <c r="F42" i="9"/>
  <c r="F64" i="8"/>
  <c r="G63" i="8"/>
  <c r="C48" i="7"/>
  <c r="D46" i="7"/>
  <c r="L27" i="3"/>
  <c r="E87" i="7"/>
  <c r="D89" i="7"/>
  <c r="D94" i="7" s="1"/>
  <c r="J12" i="3"/>
  <c r="L28" i="3"/>
  <c r="F4" i="7"/>
  <c r="D5" i="7"/>
  <c r="C7" i="7"/>
  <c r="F48" i="9"/>
  <c r="G12" i="3"/>
  <c r="G16" i="3"/>
  <c r="D54" i="8"/>
  <c r="L21" i="3"/>
  <c r="E7" i="8" l="1"/>
  <c r="D9" i="8"/>
  <c r="D14" i="8" s="1"/>
  <c r="I104" i="8"/>
  <c r="H105" i="8"/>
  <c r="G187" i="8"/>
  <c r="H186" i="8"/>
  <c r="J201" i="8"/>
  <c r="E194" i="8"/>
  <c r="J153" i="8"/>
  <c r="F194" i="8"/>
  <c r="J160" i="8"/>
  <c r="I112" i="8"/>
  <c r="F71" i="8"/>
  <c r="D194" i="8"/>
  <c r="I153" i="8"/>
  <c r="H112" i="8"/>
  <c r="J78" i="8"/>
  <c r="F153" i="8"/>
  <c r="J71" i="8"/>
  <c r="J30" i="8"/>
  <c r="E153" i="8"/>
  <c r="I71" i="8"/>
  <c r="I30" i="8"/>
  <c r="F110" i="7"/>
  <c r="J194" i="8"/>
  <c r="D153" i="8"/>
  <c r="J112" i="8"/>
  <c r="H71" i="8"/>
  <c r="H30" i="8"/>
  <c r="H153" i="8"/>
  <c r="D112" i="8"/>
  <c r="J119" i="8"/>
  <c r="G112" i="8"/>
  <c r="D71" i="8"/>
  <c r="H110" i="7"/>
  <c r="D69" i="7"/>
  <c r="F112" i="8"/>
  <c r="G30" i="8"/>
  <c r="G110" i="7"/>
  <c r="J28" i="7"/>
  <c r="E112" i="8"/>
  <c r="F30" i="8"/>
  <c r="E110" i="7"/>
  <c r="J76" i="7"/>
  <c r="J69" i="7"/>
  <c r="I28" i="7"/>
  <c r="G153" i="8"/>
  <c r="E30" i="8"/>
  <c r="D110" i="7"/>
  <c r="I69" i="7"/>
  <c r="I194" i="8"/>
  <c r="G194" i="8"/>
  <c r="E69" i="7"/>
  <c r="E28" i="7"/>
  <c r="J35" i="7"/>
  <c r="D28" i="7"/>
  <c r="J110" i="7"/>
  <c r="H69" i="7"/>
  <c r="H28" i="7"/>
  <c r="H194" i="8"/>
  <c r="I110" i="7"/>
  <c r="G69" i="7"/>
  <c r="D30" i="8"/>
  <c r="F69" i="7"/>
  <c r="J117" i="7"/>
  <c r="G71" i="8"/>
  <c r="J37" i="8"/>
  <c r="G28" i="7"/>
  <c r="E71" i="8"/>
  <c r="F28" i="7"/>
  <c r="F44" i="9"/>
  <c r="F49" i="9"/>
  <c r="E51" i="9"/>
  <c r="D49" i="9"/>
  <c r="D44" i="9"/>
  <c r="G64" i="8"/>
  <c r="H63" i="8"/>
  <c r="D49" i="7"/>
  <c r="H103" i="7"/>
  <c r="I102" i="7"/>
  <c r="H49" i="9"/>
  <c r="H44" i="9"/>
  <c r="D10" i="8"/>
  <c r="F87" i="7"/>
  <c r="E89" i="7"/>
  <c r="E94" i="7" s="1"/>
  <c r="D92" i="8"/>
  <c r="E171" i="8"/>
  <c r="D173" i="8"/>
  <c r="D178" i="8" s="1"/>
  <c r="F11" i="7"/>
  <c r="G4" i="7"/>
  <c r="G22" i="8"/>
  <c r="F23" i="8"/>
  <c r="G170" i="8"/>
  <c r="F177" i="8"/>
  <c r="E5" i="7"/>
  <c r="D7" i="7"/>
  <c r="D12" i="7" s="1"/>
  <c r="G47" i="8"/>
  <c r="F54" i="8"/>
  <c r="F146" i="8"/>
  <c r="G145" i="8"/>
  <c r="F93" i="7"/>
  <c r="G86" i="7"/>
  <c r="E130" i="8"/>
  <c r="D132" i="8"/>
  <c r="D137" i="8" s="1"/>
  <c r="E53" i="9"/>
  <c r="F136" i="8"/>
  <c r="G129" i="8"/>
  <c r="G62" i="7"/>
  <c r="H61" i="7"/>
  <c r="D215" i="8"/>
  <c r="F13" i="8"/>
  <c r="G6" i="8"/>
  <c r="D133" i="8"/>
  <c r="G88" i="8"/>
  <c r="F95" i="8"/>
  <c r="G45" i="7"/>
  <c r="F52" i="7"/>
  <c r="E11" i="7"/>
  <c r="D48" i="7"/>
  <c r="D53" i="7" s="1"/>
  <c r="E46" i="7"/>
  <c r="D8" i="7"/>
  <c r="D91" i="8"/>
  <c r="D96" i="8" s="1"/>
  <c r="E89" i="8"/>
  <c r="D90" i="7"/>
  <c r="G21" i="7"/>
  <c r="H20" i="7"/>
  <c r="E48" i="8"/>
  <c r="D50" i="8"/>
  <c r="D55" i="8" s="1"/>
  <c r="I63" i="8" l="1"/>
  <c r="H64" i="8"/>
  <c r="I186" i="8"/>
  <c r="H187" i="8"/>
  <c r="E173" i="8"/>
  <c r="E178" i="8" s="1"/>
  <c r="F171" i="8"/>
  <c r="E90" i="7"/>
  <c r="D91" i="7"/>
  <c r="G93" i="7"/>
  <c r="H86" i="7"/>
  <c r="E92" i="8"/>
  <c r="D93" i="8"/>
  <c r="E8" i="7"/>
  <c r="D9" i="7"/>
  <c r="D11" i="8"/>
  <c r="C53" i="9"/>
  <c r="J115" i="7" s="1"/>
  <c r="C52" i="9"/>
  <c r="C51" i="9"/>
  <c r="J33" i="7" s="1"/>
  <c r="D50" i="7"/>
  <c r="F89" i="8"/>
  <c r="E91" i="8"/>
  <c r="E96" i="8" s="1"/>
  <c r="G13" i="8"/>
  <c r="H6" i="8"/>
  <c r="G136" i="8"/>
  <c r="H129" i="8"/>
  <c r="H47" i="8"/>
  <c r="G54" i="8"/>
  <c r="H22" i="8"/>
  <c r="G23" i="8"/>
  <c r="H45" i="7"/>
  <c r="G52" i="7"/>
  <c r="G11" i="7"/>
  <c r="H4" i="7"/>
  <c r="G87" i="7"/>
  <c r="F89" i="7"/>
  <c r="F94" i="7" s="1"/>
  <c r="F5" i="7"/>
  <c r="E7" i="7"/>
  <c r="E12" i="7" s="1"/>
  <c r="G95" i="8"/>
  <c r="H88" i="8"/>
  <c r="D174" i="8"/>
  <c r="G146" i="8"/>
  <c r="H145" i="8"/>
  <c r="J104" i="8"/>
  <c r="J105" i="8" s="1"/>
  <c r="I105" i="8"/>
  <c r="E48" i="7"/>
  <c r="E53" i="7" s="1"/>
  <c r="F46" i="7"/>
  <c r="F48" i="8"/>
  <c r="E50" i="8"/>
  <c r="E55" i="8" s="1"/>
  <c r="D134" i="8"/>
  <c r="H62" i="7"/>
  <c r="I61" i="7"/>
  <c r="E132" i="8"/>
  <c r="E137" i="8" s="1"/>
  <c r="F130" i="8"/>
  <c r="H170" i="8"/>
  <c r="G177" i="8"/>
  <c r="H21" i="7"/>
  <c r="I20" i="7"/>
  <c r="J102" i="7"/>
  <c r="J103" i="7" s="1"/>
  <c r="I103" i="7"/>
  <c r="D51" i="8"/>
  <c r="E9" i="8"/>
  <c r="E14" i="8" s="1"/>
  <c r="F7" i="8"/>
  <c r="I45" i="7" l="1"/>
  <c r="H52" i="7"/>
  <c r="H136" i="8"/>
  <c r="I129" i="8"/>
  <c r="G89" i="8"/>
  <c r="F91" i="8"/>
  <c r="F96" i="8" s="1"/>
  <c r="D24" i="7"/>
  <c r="D14" i="7"/>
  <c r="D18" i="7"/>
  <c r="D13" i="7"/>
  <c r="D95" i="7"/>
  <c r="D96" i="7" s="1"/>
  <c r="D100" i="7"/>
  <c r="D106" i="7"/>
  <c r="D54" i="7"/>
  <c r="D55" i="7"/>
  <c r="D65" i="7"/>
  <c r="D59" i="7"/>
  <c r="F8" i="7"/>
  <c r="E9" i="7"/>
  <c r="F90" i="7"/>
  <c r="E91" i="7"/>
  <c r="I4" i="7"/>
  <c r="H11" i="7"/>
  <c r="I22" i="8"/>
  <c r="H23" i="8"/>
  <c r="E49" i="7"/>
  <c r="D97" i="8"/>
  <c r="D108" i="8"/>
  <c r="D102" i="8"/>
  <c r="D98" i="8"/>
  <c r="F173" i="8"/>
  <c r="F178" i="8" s="1"/>
  <c r="G171" i="8"/>
  <c r="F92" i="8"/>
  <c r="E93" i="8"/>
  <c r="E174" i="8"/>
  <c r="D175" i="8"/>
  <c r="G89" i="7"/>
  <c r="G94" i="7" s="1"/>
  <c r="H87" i="7"/>
  <c r="E51" i="8"/>
  <c r="D52" i="8"/>
  <c r="H177" i="8"/>
  <c r="I170" i="8"/>
  <c r="G48" i="8"/>
  <c r="F50" i="8"/>
  <c r="F55" i="8" s="1"/>
  <c r="C31" i="11"/>
  <c r="C30" i="11"/>
  <c r="F132" i="8"/>
  <c r="F137" i="8" s="1"/>
  <c r="G130" i="8"/>
  <c r="G46" i="7"/>
  <c r="F48" i="7"/>
  <c r="F53" i="7" s="1"/>
  <c r="I88" i="8"/>
  <c r="H95" i="8"/>
  <c r="H13" i="8"/>
  <c r="I6" i="8"/>
  <c r="I86" i="7"/>
  <c r="H93" i="7"/>
  <c r="I187" i="8"/>
  <c r="J186" i="8"/>
  <c r="J187" i="8" s="1"/>
  <c r="D149" i="8"/>
  <c r="D139" i="8"/>
  <c r="D138" i="8"/>
  <c r="D143" i="8"/>
  <c r="I145" i="8"/>
  <c r="H146" i="8"/>
  <c r="F7" i="7"/>
  <c r="F12" i="7" s="1"/>
  <c r="G5" i="7"/>
  <c r="H54" i="8"/>
  <c r="I47" i="8"/>
  <c r="D26" i="8"/>
  <c r="D15" i="8"/>
  <c r="D20" i="8"/>
  <c r="D16" i="8"/>
  <c r="J20" i="7"/>
  <c r="J21" i="7" s="1"/>
  <c r="I21" i="7"/>
  <c r="I62" i="7"/>
  <c r="J61" i="7"/>
  <c r="J62" i="7" s="1"/>
  <c r="J74" i="7"/>
  <c r="J158" i="8"/>
  <c r="J76" i="8"/>
  <c r="J199" i="8"/>
  <c r="J117" i="8"/>
  <c r="J35" i="8"/>
  <c r="F9" i="8"/>
  <c r="F14" i="8" s="1"/>
  <c r="G7" i="8"/>
  <c r="E133" i="8"/>
  <c r="E10" i="8"/>
  <c r="J63" i="8"/>
  <c r="J64" i="8" s="1"/>
  <c r="I64" i="8"/>
  <c r="D97" i="7" l="1"/>
  <c r="D98" i="7"/>
  <c r="E23" i="7"/>
  <c r="E18" i="7"/>
  <c r="E14" i="7"/>
  <c r="E13" i="7"/>
  <c r="E24" i="7"/>
  <c r="J22" i="8"/>
  <c r="J23" i="8" s="1"/>
  <c r="I23" i="8"/>
  <c r="H171" i="8"/>
  <c r="G173" i="8"/>
  <c r="G178" i="8" s="1"/>
  <c r="G8" i="7"/>
  <c r="F9" i="7"/>
  <c r="I95" i="8"/>
  <c r="J88" i="8"/>
  <c r="I87" i="7"/>
  <c r="H89" i="7"/>
  <c r="H94" i="7" s="1"/>
  <c r="J129" i="8"/>
  <c r="I136" i="8"/>
  <c r="G9" i="8"/>
  <c r="G14" i="8" s="1"/>
  <c r="H7" i="8"/>
  <c r="I54" i="8"/>
  <c r="J47" i="8"/>
  <c r="D15" i="7"/>
  <c r="D16" i="7" s="1"/>
  <c r="I146" i="8"/>
  <c r="J145" i="8"/>
  <c r="J146" i="8" s="1"/>
  <c r="D67" i="8"/>
  <c r="D61" i="8"/>
  <c r="D56" i="8"/>
  <c r="D57" i="8" s="1"/>
  <c r="F51" i="8"/>
  <c r="E52" i="8"/>
  <c r="D140" i="8"/>
  <c r="D141" i="8" s="1"/>
  <c r="I93" i="7"/>
  <c r="J86" i="7"/>
  <c r="H48" i="8"/>
  <c r="G50" i="8"/>
  <c r="G55" i="8" s="1"/>
  <c r="D99" i="8"/>
  <c r="D100" i="8"/>
  <c r="I177" i="8"/>
  <c r="J170" i="8"/>
  <c r="D184" i="8"/>
  <c r="D179" i="8"/>
  <c r="D180" i="8" s="1"/>
  <c r="D190" i="8"/>
  <c r="F174" i="8"/>
  <c r="E175" i="8"/>
  <c r="I13" i="8"/>
  <c r="J6" i="8"/>
  <c r="G132" i="8"/>
  <c r="G137" i="8" s="1"/>
  <c r="H130" i="8"/>
  <c r="E107" i="8"/>
  <c r="E108" i="8"/>
  <c r="E97" i="8"/>
  <c r="E98" i="8" s="1"/>
  <c r="E102" i="8"/>
  <c r="E100" i="7"/>
  <c r="E105" i="7"/>
  <c r="E106" i="7"/>
  <c r="E95" i="7"/>
  <c r="E96" i="7" s="1"/>
  <c r="I11" i="7"/>
  <c r="J4" i="7"/>
  <c r="D56" i="7"/>
  <c r="D57" i="7" s="1"/>
  <c r="D17" i="8"/>
  <c r="D18" i="8" s="1"/>
  <c r="G7" i="7"/>
  <c r="G12" i="7" s="1"/>
  <c r="H5" i="7"/>
  <c r="H46" i="7"/>
  <c r="G48" i="7"/>
  <c r="G53" i="7" s="1"/>
  <c r="F10" i="8"/>
  <c r="E11" i="8"/>
  <c r="F133" i="8"/>
  <c r="E134" i="8"/>
  <c r="G92" i="8"/>
  <c r="F93" i="8"/>
  <c r="F49" i="7"/>
  <c r="E50" i="7"/>
  <c r="G90" i="7"/>
  <c r="F91" i="7"/>
  <c r="H89" i="8"/>
  <c r="G91" i="8"/>
  <c r="G96" i="8" s="1"/>
  <c r="I52" i="7"/>
  <c r="J45" i="7"/>
  <c r="D30" i="7" l="1"/>
  <c r="D22" i="7"/>
  <c r="D25" i="7" s="1"/>
  <c r="D26" i="7" s="1"/>
  <c r="D29" i="7" s="1"/>
  <c r="D17" i="7"/>
  <c r="D19" i="7"/>
  <c r="D60" i="7"/>
  <c r="D58" i="7"/>
  <c r="D71" i="7"/>
  <c r="D63" i="7"/>
  <c r="D66" i="7" s="1"/>
  <c r="D67" i="7" s="1"/>
  <c r="D155" i="8"/>
  <c r="D147" i="8"/>
  <c r="D150" i="8" s="1"/>
  <c r="D151" i="8" s="1"/>
  <c r="D154" i="8" s="1"/>
  <c r="D144" i="8"/>
  <c r="D142" i="8"/>
  <c r="D32" i="8"/>
  <c r="D24" i="8"/>
  <c r="D27" i="8" s="1"/>
  <c r="D28" i="8" s="1"/>
  <c r="D31" i="8" s="1"/>
  <c r="D21" i="8"/>
  <c r="D19" i="8"/>
  <c r="D58" i="8"/>
  <c r="D59" i="8" s="1"/>
  <c r="E99" i="8"/>
  <c r="E100" i="8"/>
  <c r="D181" i="8"/>
  <c r="D182" i="8" s="1"/>
  <c r="E98" i="7"/>
  <c r="E97" i="7"/>
  <c r="F100" i="7"/>
  <c r="F105" i="7"/>
  <c r="F95" i="7"/>
  <c r="F96" i="7"/>
  <c r="F106" i="7"/>
  <c r="G133" i="8"/>
  <c r="F134" i="8"/>
  <c r="E184" i="8"/>
  <c r="E189" i="8"/>
  <c r="E179" i="8"/>
  <c r="E180" i="8"/>
  <c r="E190" i="8"/>
  <c r="J93" i="7"/>
  <c r="J94" i="7"/>
  <c r="J54" i="8"/>
  <c r="G10" i="8"/>
  <c r="F11" i="8"/>
  <c r="J177" i="8"/>
  <c r="H90" i="7"/>
  <c r="G91" i="7"/>
  <c r="J52" i="7"/>
  <c r="C33" i="11"/>
  <c r="C32" i="11"/>
  <c r="E55" i="7"/>
  <c r="E65" i="7"/>
  <c r="E59" i="7"/>
  <c r="E54" i="7"/>
  <c r="E64" i="7"/>
  <c r="C58" i="9"/>
  <c r="E25" i="8"/>
  <c r="E26" i="8"/>
  <c r="E15" i="8"/>
  <c r="E16" i="8" s="1"/>
  <c r="E20" i="8"/>
  <c r="G174" i="8"/>
  <c r="F175" i="8"/>
  <c r="J136" i="8"/>
  <c r="E16" i="7"/>
  <c r="E15" i="7"/>
  <c r="I130" i="8"/>
  <c r="H132" i="8"/>
  <c r="H137" i="8" s="1"/>
  <c r="F23" i="7"/>
  <c r="F24" i="7"/>
  <c r="F18" i="7"/>
  <c r="F13" i="7"/>
  <c r="F14" i="7"/>
  <c r="F108" i="8"/>
  <c r="F97" i="8"/>
  <c r="F107" i="8"/>
  <c r="F98" i="8"/>
  <c r="F102" i="8"/>
  <c r="D106" i="8"/>
  <c r="D109" i="8" s="1"/>
  <c r="D110" i="8" s="1"/>
  <c r="D113" i="8" s="1"/>
  <c r="D103" i="8"/>
  <c r="D101" i="8"/>
  <c r="D114" i="8"/>
  <c r="G9" i="7"/>
  <c r="G93" i="8"/>
  <c r="I46" i="7"/>
  <c r="H48" i="7"/>
  <c r="H53" i="7" s="1"/>
  <c r="I5" i="7"/>
  <c r="H7" i="7"/>
  <c r="H12" i="7" s="1"/>
  <c r="J11" i="7"/>
  <c r="E61" i="8"/>
  <c r="E56" i="8"/>
  <c r="E67" i="8"/>
  <c r="E57" i="8"/>
  <c r="E66" i="8"/>
  <c r="H9" i="8"/>
  <c r="H14" i="8" s="1"/>
  <c r="I7" i="8"/>
  <c r="H173" i="8"/>
  <c r="H178" i="8" s="1"/>
  <c r="I171" i="8"/>
  <c r="D104" i="7"/>
  <c r="D107" i="7" s="1"/>
  <c r="D108" i="7" s="1"/>
  <c r="D111" i="7" s="1"/>
  <c r="D99" i="7"/>
  <c r="D112" i="7"/>
  <c r="D101" i="7"/>
  <c r="G49" i="7"/>
  <c r="F50" i="7"/>
  <c r="I89" i="7"/>
  <c r="I94" i="7" s="1"/>
  <c r="J87" i="7"/>
  <c r="J89" i="7" s="1"/>
  <c r="H91" i="8"/>
  <c r="H96" i="8" s="1"/>
  <c r="I89" i="8"/>
  <c r="E139" i="8"/>
  <c r="E138" i="8"/>
  <c r="E143" i="8"/>
  <c r="E149" i="8"/>
  <c r="E148" i="8"/>
  <c r="J13" i="8"/>
  <c r="H50" i="8"/>
  <c r="H55" i="8" s="1"/>
  <c r="I48" i="8"/>
  <c r="G51" i="8"/>
  <c r="F52" i="8"/>
  <c r="J95" i="8"/>
  <c r="E17" i="8" l="1"/>
  <c r="E18" i="8" s="1"/>
  <c r="D188" i="8"/>
  <c r="D191" i="8" s="1"/>
  <c r="D192" i="8" s="1"/>
  <c r="D195" i="8" s="1"/>
  <c r="D183" i="8"/>
  <c r="D185" i="8"/>
  <c r="D196" i="8"/>
  <c r="D73" i="8"/>
  <c r="D62" i="8"/>
  <c r="D60" i="8"/>
  <c r="D65" i="8"/>
  <c r="D68" i="8" s="1"/>
  <c r="D69" i="8" s="1"/>
  <c r="D72" i="8" s="1"/>
  <c r="I50" i="8"/>
  <c r="I55" i="8" s="1"/>
  <c r="J48" i="8"/>
  <c r="J50" i="8" s="1"/>
  <c r="J55" i="8" s="1"/>
  <c r="I90" i="7"/>
  <c r="H91" i="7"/>
  <c r="D70" i="7"/>
  <c r="H133" i="8"/>
  <c r="G134" i="8"/>
  <c r="E30" i="7"/>
  <c r="C7" i="10" s="1"/>
  <c r="E22" i="7"/>
  <c r="E25" i="7" s="1"/>
  <c r="E26" i="7" s="1"/>
  <c r="E29" i="7" s="1"/>
  <c r="E19" i="7"/>
  <c r="E17" i="7"/>
  <c r="C8" i="10" s="1"/>
  <c r="E104" i="7"/>
  <c r="E107" i="7" s="1"/>
  <c r="E108" i="7" s="1"/>
  <c r="E111" i="7" s="1"/>
  <c r="E99" i="7"/>
  <c r="E8" i="10" s="1"/>
  <c r="E101" i="7"/>
  <c r="E112" i="7"/>
  <c r="E7" i="10" s="1"/>
  <c r="C60" i="9"/>
  <c r="C59" i="9"/>
  <c r="F25" i="8"/>
  <c r="F26" i="8"/>
  <c r="F20" i="8"/>
  <c r="F15" i="8"/>
  <c r="F16" i="8" s="1"/>
  <c r="E58" i="8"/>
  <c r="E59" i="8" s="1"/>
  <c r="F15" i="7"/>
  <c r="F16" i="7"/>
  <c r="C25" i="11"/>
  <c r="E23" i="11"/>
  <c r="B22" i="11"/>
  <c r="D20" i="11"/>
  <c r="B25" i="11"/>
  <c r="D23" i="11"/>
  <c r="F21" i="11"/>
  <c r="C20" i="11"/>
  <c r="F24" i="11"/>
  <c r="C23" i="11"/>
  <c r="E21" i="11"/>
  <c r="B20" i="11"/>
  <c r="E24" i="11"/>
  <c r="B23" i="11"/>
  <c r="D21" i="11"/>
  <c r="D24" i="11"/>
  <c r="F22" i="11"/>
  <c r="C21" i="11"/>
  <c r="F25" i="11"/>
  <c r="C24" i="11"/>
  <c r="E22" i="11"/>
  <c r="B21" i="11"/>
  <c r="E25" i="11"/>
  <c r="B24" i="11"/>
  <c r="D22" i="11"/>
  <c r="F20" i="11"/>
  <c r="D25" i="11"/>
  <c r="F23" i="11"/>
  <c r="C22" i="11"/>
  <c r="E20" i="11"/>
  <c r="E56" i="7"/>
  <c r="E57" i="7" s="1"/>
  <c r="F148" i="8"/>
  <c r="F149" i="8"/>
  <c r="F138" i="8"/>
  <c r="F139" i="8" s="1"/>
  <c r="F143" i="8"/>
  <c r="I48" i="7"/>
  <c r="I53" i="7" s="1"/>
  <c r="J46" i="7"/>
  <c r="J48" i="7" s="1"/>
  <c r="J53" i="7" s="1"/>
  <c r="F97" i="7"/>
  <c r="F98" i="7" s="1"/>
  <c r="E103" i="8"/>
  <c r="E106" i="8"/>
  <c r="E109" i="8" s="1"/>
  <c r="E110" i="8" s="1"/>
  <c r="E113" i="8" s="1"/>
  <c r="E101" i="8"/>
  <c r="E114" i="8"/>
  <c r="H10" i="8"/>
  <c r="G11" i="8"/>
  <c r="I91" i="8"/>
  <c r="I96" i="8" s="1"/>
  <c r="J89" i="8"/>
  <c r="J91" i="8" s="1"/>
  <c r="J96" i="8" s="1"/>
  <c r="J171" i="8"/>
  <c r="J173" i="8" s="1"/>
  <c r="J178" i="8" s="1"/>
  <c r="I173" i="8"/>
  <c r="I178" i="8" s="1"/>
  <c r="G97" i="8"/>
  <c r="G98" i="8" s="1"/>
  <c r="G107" i="8"/>
  <c r="G108" i="8"/>
  <c r="G102" i="8"/>
  <c r="F100" i="8"/>
  <c r="F99" i="8"/>
  <c r="F67" i="8"/>
  <c r="F57" i="8"/>
  <c r="F56" i="8"/>
  <c r="F66" i="8"/>
  <c r="F61" i="8"/>
  <c r="I9" i="8"/>
  <c r="I14" i="8" s="1"/>
  <c r="J7" i="8"/>
  <c r="J9" i="8" s="1"/>
  <c r="J14" i="8" s="1"/>
  <c r="G23" i="7"/>
  <c r="G24" i="7"/>
  <c r="G13" i="7"/>
  <c r="G14" i="7" s="1"/>
  <c r="G18" i="7"/>
  <c r="H174" i="8"/>
  <c r="G175" i="8"/>
  <c r="E140" i="8"/>
  <c r="E141" i="8" s="1"/>
  <c r="J5" i="7"/>
  <c r="J7" i="7" s="1"/>
  <c r="J12" i="7" s="1"/>
  <c r="I7" i="7"/>
  <c r="I12" i="7" s="1"/>
  <c r="H92" i="8"/>
  <c r="F189" i="8"/>
  <c r="F184" i="8"/>
  <c r="F179" i="8"/>
  <c r="F180" i="8" s="1"/>
  <c r="F190" i="8"/>
  <c r="E181" i="8"/>
  <c r="E182" i="8" s="1"/>
  <c r="F65" i="7"/>
  <c r="F59" i="7"/>
  <c r="F55" i="7"/>
  <c r="F54" i="7"/>
  <c r="F64" i="7"/>
  <c r="H51" i="8"/>
  <c r="G52" i="8"/>
  <c r="H49" i="7"/>
  <c r="G50" i="7"/>
  <c r="H8" i="7"/>
  <c r="J130" i="8"/>
  <c r="J132" i="8" s="1"/>
  <c r="J137" i="8" s="1"/>
  <c r="I132" i="8"/>
  <c r="I137" i="8" s="1"/>
  <c r="G105" i="7"/>
  <c r="G100" i="7"/>
  <c r="G95" i="7"/>
  <c r="G106" i="7"/>
  <c r="G96" i="7"/>
  <c r="C34" i="11" l="1"/>
  <c r="E71" i="7"/>
  <c r="D7" i="10" s="1"/>
  <c r="E60" i="7"/>
  <c r="C57" i="9" s="1"/>
  <c r="E58" i="7"/>
  <c r="D8" i="10" s="1"/>
  <c r="E63" i="7"/>
  <c r="E66" i="7" s="1"/>
  <c r="E67" i="7" s="1"/>
  <c r="E73" i="8"/>
  <c r="E62" i="8"/>
  <c r="E60" i="8"/>
  <c r="E65" i="8"/>
  <c r="E68" i="8" s="1"/>
  <c r="E69" i="8" s="1"/>
  <c r="E72" i="8" s="1"/>
  <c r="E185" i="8"/>
  <c r="E183" i="8"/>
  <c r="E196" i="8"/>
  <c r="E188" i="8"/>
  <c r="E191" i="8" s="1"/>
  <c r="E192" i="8" s="1"/>
  <c r="E195" i="8" s="1"/>
  <c r="F181" i="8"/>
  <c r="F182" i="8" s="1"/>
  <c r="G100" i="8"/>
  <c r="G99" i="8"/>
  <c r="F101" i="7"/>
  <c r="F99" i="7"/>
  <c r="F104" i="7"/>
  <c r="F107" i="7" s="1"/>
  <c r="F108" i="7" s="1"/>
  <c r="F111" i="7" s="1"/>
  <c r="F112" i="7"/>
  <c r="F18" i="8"/>
  <c r="F17" i="8"/>
  <c r="E147" i="8"/>
  <c r="E150" i="8" s="1"/>
  <c r="E151" i="8" s="1"/>
  <c r="E154" i="8" s="1"/>
  <c r="E155" i="8"/>
  <c r="E142" i="8"/>
  <c r="E144" i="8"/>
  <c r="F140" i="8"/>
  <c r="F141" i="8"/>
  <c r="G15" i="7"/>
  <c r="G16" i="7" s="1"/>
  <c r="E24" i="8"/>
  <c r="E27" i="8" s="1"/>
  <c r="E28" i="8" s="1"/>
  <c r="E31" i="8" s="1"/>
  <c r="E19" i="8"/>
  <c r="E32" i="8"/>
  <c r="E21" i="8"/>
  <c r="G97" i="7"/>
  <c r="G98" i="7"/>
  <c r="G64" i="7"/>
  <c r="G65" i="7"/>
  <c r="G54" i="7"/>
  <c r="G55" i="7" s="1"/>
  <c r="G59" i="7"/>
  <c r="I92" i="8"/>
  <c r="H93" i="8"/>
  <c r="I174" i="8"/>
  <c r="H175" i="8"/>
  <c r="I49" i="7"/>
  <c r="H50" i="7"/>
  <c r="I10" i="8"/>
  <c r="H11" i="8"/>
  <c r="F22" i="7"/>
  <c r="F25" i="7" s="1"/>
  <c r="F26" i="7" s="1"/>
  <c r="F29" i="7" s="1"/>
  <c r="F30" i="7"/>
  <c r="F17" i="7"/>
  <c r="F19" i="7"/>
  <c r="G67" i="8"/>
  <c r="G56" i="8"/>
  <c r="G57" i="8" s="1"/>
  <c r="G61" i="8"/>
  <c r="G66" i="8"/>
  <c r="G26" i="8"/>
  <c r="G15" i="8"/>
  <c r="G16" i="8" s="1"/>
  <c r="G20" i="8"/>
  <c r="G25" i="8"/>
  <c r="H105" i="7"/>
  <c r="H100" i="7"/>
  <c r="H95" i="7"/>
  <c r="H106" i="7"/>
  <c r="H96" i="7"/>
  <c r="I51" i="8"/>
  <c r="H52" i="8"/>
  <c r="J90" i="7"/>
  <c r="J91" i="7" s="1"/>
  <c r="I91" i="7"/>
  <c r="G149" i="8"/>
  <c r="G148" i="8"/>
  <c r="G143" i="8"/>
  <c r="G138" i="8"/>
  <c r="G139" i="8" s="1"/>
  <c r="F56" i="7"/>
  <c r="F57" i="7" s="1"/>
  <c r="F106" i="8"/>
  <c r="F109" i="8" s="1"/>
  <c r="F110" i="8" s="1"/>
  <c r="F113" i="8" s="1"/>
  <c r="F114" i="8"/>
  <c r="F101" i="8"/>
  <c r="F103" i="8"/>
  <c r="I133" i="8"/>
  <c r="H134" i="8"/>
  <c r="F58" i="8"/>
  <c r="F59" i="8" s="1"/>
  <c r="I8" i="7"/>
  <c r="H9" i="7"/>
  <c r="G179" i="8"/>
  <c r="G180" i="8" s="1"/>
  <c r="G190" i="8"/>
  <c r="G189" i="8"/>
  <c r="G184" i="8"/>
  <c r="G140" i="8" l="1"/>
  <c r="G141" i="8"/>
  <c r="G57" i="7"/>
  <c r="G56" i="7"/>
  <c r="F65" i="8"/>
  <c r="F68" i="8" s="1"/>
  <c r="F69" i="8" s="1"/>
  <c r="F72" i="8" s="1"/>
  <c r="F73" i="8"/>
  <c r="F62" i="8"/>
  <c r="F60" i="8"/>
  <c r="F185" i="8"/>
  <c r="F196" i="8"/>
  <c r="F183" i="8"/>
  <c r="F188" i="8"/>
  <c r="F191" i="8" s="1"/>
  <c r="F192" i="8" s="1"/>
  <c r="F195" i="8" s="1"/>
  <c r="G59" i="8"/>
  <c r="G58" i="8"/>
  <c r="G22" i="7"/>
  <c r="G25" i="7" s="1"/>
  <c r="G26" i="7" s="1"/>
  <c r="G29" i="7" s="1"/>
  <c r="G17" i="7"/>
  <c r="G30" i="7"/>
  <c r="G19" i="7"/>
  <c r="G181" i="8"/>
  <c r="G182" i="8" s="1"/>
  <c r="F63" i="7"/>
  <c r="F66" i="7" s="1"/>
  <c r="F67" i="7" s="1"/>
  <c r="F70" i="7" s="1"/>
  <c r="F60" i="7"/>
  <c r="F58" i="7"/>
  <c r="F71" i="7"/>
  <c r="G17" i="8"/>
  <c r="G18" i="8" s="1"/>
  <c r="J105" i="7"/>
  <c r="J106" i="7"/>
  <c r="J96" i="7"/>
  <c r="J100" i="7"/>
  <c r="J95" i="7"/>
  <c r="H65" i="7"/>
  <c r="H64" i="7"/>
  <c r="H54" i="7"/>
  <c r="H55" i="7" s="1"/>
  <c r="H59" i="7"/>
  <c r="J133" i="8"/>
  <c r="J134" i="8" s="1"/>
  <c r="I134" i="8"/>
  <c r="H97" i="7"/>
  <c r="H98" i="7" s="1"/>
  <c r="J174" i="8"/>
  <c r="J175" i="8" s="1"/>
  <c r="I175" i="8"/>
  <c r="F155" i="8"/>
  <c r="F142" i="8"/>
  <c r="F144" i="8"/>
  <c r="F147" i="8"/>
  <c r="F150" i="8" s="1"/>
  <c r="F151" i="8" s="1"/>
  <c r="F154" i="8" s="1"/>
  <c r="I95" i="7"/>
  <c r="I106" i="7"/>
  <c r="I96" i="7"/>
  <c r="I100" i="7"/>
  <c r="I105" i="7"/>
  <c r="H66" i="8"/>
  <c r="H67" i="8"/>
  <c r="H61" i="8"/>
  <c r="H56" i="8"/>
  <c r="H57" i="8" s="1"/>
  <c r="J49" i="7"/>
  <c r="J50" i="7" s="1"/>
  <c r="I50" i="7"/>
  <c r="G114" i="8"/>
  <c r="G101" i="8"/>
  <c r="G106" i="8"/>
  <c r="G109" i="8" s="1"/>
  <c r="G110" i="8" s="1"/>
  <c r="G113" i="8" s="1"/>
  <c r="G103" i="8"/>
  <c r="H138" i="8"/>
  <c r="H139" i="8" s="1"/>
  <c r="H148" i="8"/>
  <c r="H143" i="8"/>
  <c r="H149" i="8"/>
  <c r="J51" i="8"/>
  <c r="J52" i="8" s="1"/>
  <c r="I52" i="8"/>
  <c r="H190" i="8"/>
  <c r="H179" i="8"/>
  <c r="H180" i="8" s="1"/>
  <c r="H189" i="8"/>
  <c r="H184" i="8"/>
  <c r="F19" i="8"/>
  <c r="F32" i="8"/>
  <c r="F24" i="8"/>
  <c r="F27" i="8" s="1"/>
  <c r="F28" i="8" s="1"/>
  <c r="F31" i="8" s="1"/>
  <c r="F21" i="8"/>
  <c r="E70" i="7"/>
  <c r="H24" i="7"/>
  <c r="H13" i="7"/>
  <c r="H14" i="7"/>
  <c r="H23" i="7"/>
  <c r="H18" i="7"/>
  <c r="G99" i="7"/>
  <c r="G101" i="7"/>
  <c r="G104" i="7"/>
  <c r="G107" i="7" s="1"/>
  <c r="G108" i="7" s="1"/>
  <c r="G111" i="7" s="1"/>
  <c r="G112" i="7"/>
  <c r="H102" i="8"/>
  <c r="H107" i="8"/>
  <c r="H97" i="8"/>
  <c r="H98" i="8" s="1"/>
  <c r="H108" i="8"/>
  <c r="J92" i="8"/>
  <c r="J93" i="8" s="1"/>
  <c r="I93" i="8"/>
  <c r="J8" i="7"/>
  <c r="J9" i="7" s="1"/>
  <c r="I9" i="7"/>
  <c r="H15" i="8"/>
  <c r="H16" i="8"/>
  <c r="H20" i="8"/>
  <c r="H25" i="8"/>
  <c r="H26" i="8"/>
  <c r="J10" i="8"/>
  <c r="J11" i="8" s="1"/>
  <c r="I11" i="8"/>
  <c r="C35" i="11"/>
  <c r="C36" i="11"/>
  <c r="H56" i="7" l="1"/>
  <c r="H57" i="7" s="1"/>
  <c r="H99" i="8"/>
  <c r="H100" i="8" s="1"/>
  <c r="G196" i="8"/>
  <c r="G185" i="8"/>
  <c r="G183" i="8"/>
  <c r="G188" i="8"/>
  <c r="G191" i="8" s="1"/>
  <c r="G192" i="8" s="1"/>
  <c r="G195" i="8" s="1"/>
  <c r="H140" i="8"/>
  <c r="H141" i="8" s="1"/>
  <c r="G19" i="8"/>
  <c r="G32" i="8"/>
  <c r="G24" i="8"/>
  <c r="G27" i="8" s="1"/>
  <c r="G28" i="8" s="1"/>
  <c r="G31" i="8" s="1"/>
  <c r="G21" i="8"/>
  <c r="H112" i="7"/>
  <c r="H101" i="7"/>
  <c r="H104" i="7"/>
  <c r="H107" i="7" s="1"/>
  <c r="H108" i="7" s="1"/>
  <c r="H111" i="7" s="1"/>
  <c r="H99" i="7"/>
  <c r="H59" i="8"/>
  <c r="H58" i="8"/>
  <c r="H181" i="8"/>
  <c r="H182" i="8" s="1"/>
  <c r="J108" i="8"/>
  <c r="J107" i="8"/>
  <c r="J102" i="8"/>
  <c r="J97" i="8"/>
  <c r="J98" i="8" s="1"/>
  <c r="J143" i="8"/>
  <c r="J148" i="8"/>
  <c r="J138" i="8"/>
  <c r="J139" i="8" s="1"/>
  <c r="J149" i="8"/>
  <c r="I16" i="8"/>
  <c r="I20" i="8"/>
  <c r="I25" i="8"/>
  <c r="I15" i="8"/>
  <c r="I26" i="8"/>
  <c r="J14" i="7"/>
  <c r="J18" i="7"/>
  <c r="J13" i="7"/>
  <c r="J23" i="7"/>
  <c r="J24" i="7"/>
  <c r="H16" i="7"/>
  <c r="H15" i="7"/>
  <c r="J66" i="8"/>
  <c r="J56" i="8"/>
  <c r="J57" i="8" s="1"/>
  <c r="J67" i="8"/>
  <c r="J61" i="8"/>
  <c r="J20" i="8"/>
  <c r="J16" i="8"/>
  <c r="J25" i="8"/>
  <c r="J15" i="8"/>
  <c r="J26" i="8"/>
  <c r="I102" i="8"/>
  <c r="I97" i="8"/>
  <c r="I108" i="8"/>
  <c r="I107" i="8"/>
  <c r="I98" i="8"/>
  <c r="J97" i="7"/>
  <c r="J98" i="7"/>
  <c r="I65" i="7"/>
  <c r="I54" i="7"/>
  <c r="I55" i="7"/>
  <c r="I59" i="7"/>
  <c r="I64" i="7"/>
  <c r="I189" i="8"/>
  <c r="I190" i="8"/>
  <c r="I179" i="8"/>
  <c r="I180" i="8" s="1"/>
  <c r="I184" i="8"/>
  <c r="G73" i="8"/>
  <c r="G65" i="8"/>
  <c r="G68" i="8" s="1"/>
  <c r="G69" i="8" s="1"/>
  <c r="G72" i="8" s="1"/>
  <c r="G62" i="8"/>
  <c r="G60" i="8"/>
  <c r="J54" i="7"/>
  <c r="J55" i="7" s="1"/>
  <c r="J65" i="7"/>
  <c r="J59" i="7"/>
  <c r="J64" i="7"/>
  <c r="I97" i="7"/>
  <c r="I98" i="7" s="1"/>
  <c r="J190" i="8"/>
  <c r="J179" i="8"/>
  <c r="J180" i="8" s="1"/>
  <c r="J184" i="8"/>
  <c r="J189" i="8"/>
  <c r="H17" i="8"/>
  <c r="H18" i="8"/>
  <c r="G71" i="7"/>
  <c r="G58" i="7"/>
  <c r="G63" i="7"/>
  <c r="G66" i="7" s="1"/>
  <c r="G67" i="7" s="1"/>
  <c r="G60" i="7"/>
  <c r="G147" i="8"/>
  <c r="G150" i="8" s="1"/>
  <c r="G151" i="8" s="1"/>
  <c r="G154" i="8" s="1"/>
  <c r="G142" i="8"/>
  <c r="G155" i="8"/>
  <c r="G144" i="8"/>
  <c r="I13" i="7"/>
  <c r="I14" i="7"/>
  <c r="I18" i="7"/>
  <c r="I23" i="7"/>
  <c r="I24" i="7"/>
  <c r="I66" i="8"/>
  <c r="I56" i="8"/>
  <c r="I57" i="8" s="1"/>
  <c r="I67" i="8"/>
  <c r="I61" i="8"/>
  <c r="I139" i="8"/>
  <c r="I143" i="8"/>
  <c r="I148" i="8"/>
  <c r="I138" i="8"/>
  <c r="I149" i="8"/>
  <c r="I104" i="7" l="1"/>
  <c r="I107" i="7" s="1"/>
  <c r="I108" i="7" s="1"/>
  <c r="I111" i="7" s="1"/>
  <c r="I101" i="7"/>
  <c r="I112" i="7"/>
  <c r="I99" i="7"/>
  <c r="I182" i="8"/>
  <c r="I181" i="8"/>
  <c r="J56" i="7"/>
  <c r="J57" i="7" s="1"/>
  <c r="J181" i="8"/>
  <c r="J182" i="8" s="1"/>
  <c r="H188" i="8"/>
  <c r="H191" i="8" s="1"/>
  <c r="H192" i="8" s="1"/>
  <c r="H195" i="8" s="1"/>
  <c r="H185" i="8"/>
  <c r="H196" i="8"/>
  <c r="H183" i="8"/>
  <c r="H103" i="8"/>
  <c r="H101" i="8"/>
  <c r="H114" i="8"/>
  <c r="H106" i="8"/>
  <c r="H109" i="8" s="1"/>
  <c r="H110" i="8" s="1"/>
  <c r="H113" i="8" s="1"/>
  <c r="J58" i="8"/>
  <c r="J59" i="8"/>
  <c r="H147" i="8"/>
  <c r="H150" i="8" s="1"/>
  <c r="H151" i="8" s="1"/>
  <c r="H154" i="8" s="1"/>
  <c r="H142" i="8"/>
  <c r="H155" i="8"/>
  <c r="H144" i="8"/>
  <c r="J99" i="8"/>
  <c r="J100" i="8"/>
  <c r="I58" i="8"/>
  <c r="I59" i="8"/>
  <c r="J141" i="8"/>
  <c r="J140" i="8"/>
  <c r="H71" i="7"/>
  <c r="H58" i="7"/>
  <c r="H63" i="7"/>
  <c r="H66" i="7" s="1"/>
  <c r="H67" i="7" s="1"/>
  <c r="H60" i="7"/>
  <c r="J15" i="7"/>
  <c r="J16" i="7" s="1"/>
  <c r="I100" i="8"/>
  <c r="I99" i="8"/>
  <c r="J17" i="8"/>
  <c r="J18" i="8" s="1"/>
  <c r="H21" i="8"/>
  <c r="H32" i="8"/>
  <c r="H24" i="8"/>
  <c r="H27" i="8" s="1"/>
  <c r="H28" i="8" s="1"/>
  <c r="H31" i="8" s="1"/>
  <c r="H19" i="8"/>
  <c r="I140" i="8"/>
  <c r="I141" i="8" s="1"/>
  <c r="G70" i="7"/>
  <c r="J112" i="7"/>
  <c r="J101" i="7"/>
  <c r="J116" i="7" s="1"/>
  <c r="J104" i="7"/>
  <c r="J99" i="7"/>
  <c r="E9" i="10" s="1"/>
  <c r="H19" i="7"/>
  <c r="H30" i="7"/>
  <c r="H22" i="7"/>
  <c r="H25" i="7" s="1"/>
  <c r="H26" i="7" s="1"/>
  <c r="H29" i="7" s="1"/>
  <c r="H17" i="7"/>
  <c r="H73" i="8"/>
  <c r="H65" i="8"/>
  <c r="H68" i="8" s="1"/>
  <c r="H69" i="8" s="1"/>
  <c r="H72" i="8" s="1"/>
  <c r="H60" i="8"/>
  <c r="H62" i="8"/>
  <c r="I16" i="7"/>
  <c r="I15" i="7"/>
  <c r="I17" i="8"/>
  <c r="I18" i="8" s="1"/>
  <c r="I56" i="7"/>
  <c r="I57" i="7"/>
  <c r="J196" i="8" l="1"/>
  <c r="J188" i="8"/>
  <c r="J183" i="8"/>
  <c r="H212" i="8" s="1"/>
  <c r="J185" i="8"/>
  <c r="J200" i="8" s="1"/>
  <c r="J21" i="8"/>
  <c r="J36" i="8" s="1"/>
  <c r="J19" i="8"/>
  <c r="D212" i="8" s="1"/>
  <c r="J32" i="8"/>
  <c r="J24" i="8"/>
  <c r="J63" i="7"/>
  <c r="J58" i="7"/>
  <c r="D9" i="10" s="1"/>
  <c r="J71" i="7"/>
  <c r="J60" i="7"/>
  <c r="J75" i="7" s="1"/>
  <c r="I21" i="8"/>
  <c r="I19" i="8"/>
  <c r="I32" i="8"/>
  <c r="I24" i="8"/>
  <c r="I27" i="8" s="1"/>
  <c r="I28" i="8" s="1"/>
  <c r="I31" i="8" s="1"/>
  <c r="I147" i="8"/>
  <c r="I150" i="8" s="1"/>
  <c r="I151" i="8" s="1"/>
  <c r="I154" i="8" s="1"/>
  <c r="I142" i="8"/>
  <c r="I144" i="8"/>
  <c r="I155" i="8"/>
  <c r="J19" i="7"/>
  <c r="J34" i="7" s="1"/>
  <c r="J17" i="7"/>
  <c r="C9" i="10" s="1"/>
  <c r="J22" i="7"/>
  <c r="J30" i="7"/>
  <c r="I63" i="7"/>
  <c r="I66" i="7" s="1"/>
  <c r="I67" i="7" s="1"/>
  <c r="I71" i="7"/>
  <c r="I60" i="7"/>
  <c r="I58" i="7"/>
  <c r="I103" i="8"/>
  <c r="I101" i="8"/>
  <c r="I114" i="8"/>
  <c r="I106" i="8"/>
  <c r="I109" i="8" s="1"/>
  <c r="I110" i="8" s="1"/>
  <c r="I113" i="8" s="1"/>
  <c r="J144" i="8"/>
  <c r="J159" i="8" s="1"/>
  <c r="J142" i="8"/>
  <c r="G212" i="8" s="1"/>
  <c r="J155" i="8"/>
  <c r="J147" i="8"/>
  <c r="I196" i="8"/>
  <c r="I185" i="8"/>
  <c r="I188" i="8"/>
  <c r="I191" i="8" s="1"/>
  <c r="I192" i="8" s="1"/>
  <c r="I195" i="8" s="1"/>
  <c r="I183" i="8"/>
  <c r="J114" i="7"/>
  <c r="J107" i="7"/>
  <c r="J108" i="7" s="1"/>
  <c r="J111" i="7" s="1"/>
  <c r="J113" i="7" s="1"/>
  <c r="J60" i="8"/>
  <c r="E212" i="8" s="1"/>
  <c r="J65" i="8"/>
  <c r="J73" i="8"/>
  <c r="J62" i="8"/>
  <c r="J77" i="8" s="1"/>
  <c r="J114" i="8"/>
  <c r="J101" i="8"/>
  <c r="F212" i="8" s="1"/>
  <c r="J103" i="8"/>
  <c r="J118" i="8" s="1"/>
  <c r="J106" i="8"/>
  <c r="I19" i="7"/>
  <c r="I17" i="7"/>
  <c r="I30" i="7"/>
  <c r="I22" i="7"/>
  <c r="I25" i="7" s="1"/>
  <c r="I26" i="7" s="1"/>
  <c r="I29" i="7" s="1"/>
  <c r="I65" i="8"/>
  <c r="I68" i="8" s="1"/>
  <c r="I69" i="8" s="1"/>
  <c r="I72" i="8" s="1"/>
  <c r="I60" i="8"/>
  <c r="I62" i="8"/>
  <c r="I73" i="8"/>
  <c r="H70" i="7"/>
  <c r="J116" i="8" l="1"/>
  <c r="J109" i="8"/>
  <c r="J110" i="8" s="1"/>
  <c r="J113" i="8" s="1"/>
  <c r="J115" i="8" s="1"/>
  <c r="J119" i="7"/>
  <c r="J122" i="7" s="1"/>
  <c r="E12" i="10" s="1"/>
  <c r="J118" i="7"/>
  <c r="J121" i="7" s="1"/>
  <c r="J34" i="8"/>
  <c r="J27" i="8"/>
  <c r="J28" i="8" s="1"/>
  <c r="J31" i="8" s="1"/>
  <c r="J33" i="8" s="1"/>
  <c r="J32" i="7"/>
  <c r="J25" i="7"/>
  <c r="J26" i="7" s="1"/>
  <c r="J29" i="7" s="1"/>
  <c r="J31" i="7" s="1"/>
  <c r="J75" i="8"/>
  <c r="J68" i="8"/>
  <c r="J69" i="8" s="1"/>
  <c r="J72" i="8" s="1"/>
  <c r="J74" i="8" s="1"/>
  <c r="J157" i="8"/>
  <c r="J150" i="8"/>
  <c r="J151" i="8" s="1"/>
  <c r="J154" i="8" s="1"/>
  <c r="J156" i="8" s="1"/>
  <c r="J191" i="8"/>
  <c r="J192" i="8" s="1"/>
  <c r="J195" i="8" s="1"/>
  <c r="J197" i="8" s="1"/>
  <c r="J198" i="8"/>
  <c r="J124" i="7"/>
  <c r="J120" i="7"/>
  <c r="I70" i="7"/>
  <c r="C6" i="11"/>
  <c r="E6" i="11"/>
  <c r="F7" i="11"/>
  <c r="E8" i="11"/>
  <c r="F8" i="11"/>
  <c r="C5" i="11"/>
  <c r="D8" i="11"/>
  <c r="B6" i="11"/>
  <c r="I15" i="11"/>
  <c r="D7" i="11"/>
  <c r="F15" i="11"/>
  <c r="B9" i="11"/>
  <c r="E5" i="11"/>
  <c r="D9" i="11"/>
  <c r="B5" i="11"/>
  <c r="E9" i="11"/>
  <c r="B8" i="11"/>
  <c r="C7" i="11"/>
  <c r="C8" i="11"/>
  <c r="B7" i="11"/>
  <c r="C15" i="11"/>
  <c r="D15" i="11"/>
  <c r="G15" i="11"/>
  <c r="B15" i="11"/>
  <c r="J73" i="7"/>
  <c r="J66" i="7"/>
  <c r="J67" i="7" s="1"/>
  <c r="J36" i="7" l="1"/>
  <c r="J39" i="7" s="1"/>
  <c r="J37" i="7"/>
  <c r="J40" i="7" s="1"/>
  <c r="C12" i="10" s="1"/>
  <c r="J42" i="7"/>
  <c r="J38" i="7"/>
  <c r="J39" i="8"/>
  <c r="J42" i="8" s="1"/>
  <c r="J38" i="8"/>
  <c r="J41" i="8" s="1"/>
  <c r="J204" i="8"/>
  <c r="J208" i="8"/>
  <c r="J202" i="8"/>
  <c r="J205" i="8" s="1"/>
  <c r="J203" i="8"/>
  <c r="J206" i="8" s="1"/>
  <c r="J44" i="8"/>
  <c r="J167" i="8"/>
  <c r="J163" i="8"/>
  <c r="J70" i="7"/>
  <c r="J72" i="7" s="1"/>
  <c r="D5" i="11"/>
  <c r="F6" i="11"/>
  <c r="C9" i="11"/>
  <c r="J15" i="11"/>
  <c r="E15" i="11"/>
  <c r="E7" i="11"/>
  <c r="J79" i="8"/>
  <c r="J82" i="8" s="1"/>
  <c r="J80" i="8"/>
  <c r="J83" i="8" s="1"/>
  <c r="J121" i="8"/>
  <c r="J124" i="8" s="1"/>
  <c r="J120" i="8"/>
  <c r="J123" i="8" s="1"/>
  <c r="B16" i="11"/>
  <c r="J162" i="8"/>
  <c r="J165" i="8" s="1"/>
  <c r="J161" i="8"/>
  <c r="J164" i="8" s="1"/>
  <c r="J166" i="8" s="1"/>
  <c r="G211" i="8" s="1"/>
  <c r="E11" i="10"/>
  <c r="J123" i="7"/>
  <c r="E5" i="10" s="1"/>
  <c r="E6" i="10" s="1"/>
  <c r="D6" i="11"/>
  <c r="J83" i="7"/>
  <c r="H15" i="11"/>
  <c r="F5" i="11"/>
  <c r="F9" i="11"/>
  <c r="J81" i="8"/>
  <c r="J85" i="8"/>
  <c r="J122" i="8"/>
  <c r="J126" i="8"/>
  <c r="J84" i="8" l="1"/>
  <c r="E211" i="8" s="1"/>
  <c r="J43" i="8"/>
  <c r="D211" i="8" s="1"/>
  <c r="J78" i="7"/>
  <c r="J81" i="7" s="1"/>
  <c r="D12" i="10" s="1"/>
  <c r="J77" i="7"/>
  <c r="J40" i="8"/>
  <c r="J125" i="8"/>
  <c r="F211" i="8" s="1"/>
  <c r="J207" i="8"/>
  <c r="H211" i="8" s="1"/>
  <c r="C11" i="10"/>
  <c r="J41" i="7"/>
  <c r="C5" i="10" s="1"/>
  <c r="J80" i="7" l="1"/>
  <c r="J79" i="7"/>
  <c r="D214" i="8"/>
  <c r="D213" i="8"/>
  <c r="C6" i="10"/>
  <c r="D11" i="10" l="1"/>
  <c r="J82" i="7"/>
  <c r="C16" i="10" l="1"/>
  <c r="D5" i="10"/>
  <c r="D6" i="10" l="1"/>
  <c r="F5" i="10"/>
  <c r="C17" i="10" l="1"/>
  <c r="C15" i="10"/>
  <c r="C18" i="10" s="1"/>
  <c r="C19" i="10" s="1"/>
  <c r="C20" i="10"/>
  <c r="F6" i="10"/>
</calcChain>
</file>

<file path=xl/sharedStrings.xml><?xml version="1.0" encoding="utf-8"?>
<sst xmlns="http://schemas.openxmlformats.org/spreadsheetml/2006/main" count="1726" uniqueCount="612">
  <si>
    <t>United Airlines Holdings (UAL) — модель оценки</t>
  </si>
  <si>
    <t>Дата анализа: 14.10.2026. Цена акции: $103,23 — закрытие NASDAQ 13.10.2026 (Yahoo Finance chart API; совпадает с отчётом Zacks/Yahoo от 13.10.2026).</t>
  </si>
  <si>
    <t>Последняя опубликованная отчётность: 10-Q за 2 кв. 2026 (подан в SEC 16.07.2026) и 8-K с пресс-релизом от 15.07.2026.</t>
  </si>
  <si>
    <t>Отчёт за 3 кв. 2026 на дату анализа НЕ вышел: компания назначила публикацию на 20.10.2026 после закрытия рынка (звонок 21.10.2026). Данные 3 кв. в модели не используются.</t>
  </si>
  <si>
    <t>Пиры: TTM на 30.06.2026 (последний общий период для всех). Delta уже отчиталась за 3 кв. (09.10.2026), но для сопоставимости берём её данные на 30.06.2026.</t>
  </si>
  <si>
    <t>Цвета: синий шрифт — вводные значения (факты из отчётности и допущения); чёрный — формулы. Жёлтая заливка — ключевые результаты.</t>
  </si>
  <si>
    <t>Типы данных в колонке источника: [Ф] факт из отчётности; [Д] допущение аналитика; [О] оценка аналитика (расчёт на основе фактов).</t>
  </si>
  <si>
    <t>Все финансовые показатели — млн долл. США, если не указано иное. Удельные показатели (TRASM, CASM) — центы на ASM.</t>
  </si>
  <si>
    <t>Листы:</t>
  </si>
  <si>
    <t>Hist — исходные данные 2019–2025, 1П25, 1П26, TTM 2К26 и квартальные данные (факты с указанием документа SEC).</t>
  </si>
  <si>
    <t>Metrics — производные метрики (формулы): загрузка, доходность, маржи, качество прибыли, долговая нагрузка.</t>
  </si>
  <si>
    <t>Assumptions — ВСЕ допущения прогноза в одном месте: рынок, WACC, драйверы по трём сценариям, терминальные параметры, вероятности.</t>
  </si>
  <si>
    <t>Beta — расчёт беты по месячным доходностям UAL и S&amp;P 500 за 60 месяцев (функция SLOPE).</t>
  </si>
  <si>
    <t>WACC — расчёт ставки дисконтирования с учётом аренды в долге.</t>
  </si>
  <si>
    <t>DCF — FCFF по трём сценариям (2026–2032), терминальная стоимость двумя способами.</t>
  </si>
  <si>
    <t>ReverseDCF — какая поправка к росту RASM и какой WACC заложены в текущую цену.</t>
  </si>
  <si>
    <t>Multiples — пиры (США) и собственная история мультипликаторов UAL; международные пиры только для контекста.</t>
  </si>
  <si>
    <t>Scenarios — взвешенная по вероятностям целевая цена и сводка методов.</t>
  </si>
  <si>
    <t>Sensitivity — WACC × g; цена топлива × TRASM; ±10% топливо и ±1% RASM.</t>
  </si>
  <si>
    <t>Debt — график погашения, ликвидность, рейтинги, сравнение долговой нагрузки через EBITDAR и через операционный денежный поток, поставки самолётов.</t>
  </si>
  <si>
    <t>Исходные данные UAL (факты из отчётности SEC)</t>
  </si>
  <si>
    <t>Показатель</t>
  </si>
  <si>
    <t>Ед.</t>
  </si>
  <si>
    <t>2019</t>
  </si>
  <si>
    <t>2020</t>
  </si>
  <si>
    <t>2021</t>
  </si>
  <si>
    <t>2022</t>
  </si>
  <si>
    <t>2023</t>
  </si>
  <si>
    <t>2024</t>
  </si>
  <si>
    <t>2025</t>
  </si>
  <si>
    <t>1П25</t>
  </si>
  <si>
    <t>1П26</t>
  </si>
  <si>
    <t>TTM 2К26</t>
  </si>
  <si>
    <t>Источник / тип</t>
  </si>
  <si>
    <t>Операционные показатели</t>
  </si>
  <si>
    <t>Пассажиро-кресло-мили (ASM)</t>
  </si>
  <si>
    <t>млн</t>
  </si>
  <si>
    <t>[Ф] Пресс-релизы 8-K по итогам 4 кв.: FY2019–2021 (8-K 19.01.2022), FY2022 (17.01.2023), FY2023 (22.01.2024), FY2024 (21.01.2025), FY2025 (20.01.2026); 1П — 8-K 15.07.2026</t>
  </si>
  <si>
    <t>Пассажиро-мили (RPM)</t>
  </si>
  <si>
    <t>Пассажиры</t>
  </si>
  <si>
    <t>тыс.</t>
  </si>
  <si>
    <t>CASM-ex (отчётный, non-GAAP)</t>
  </si>
  <si>
    <t>центы</t>
  </si>
  <si>
    <t>[Ф] Пресс-релизы 8-K по итогам 4 кв.: FY2019–2021 (8-K 19.01.2022), FY2022 (17.01.2023), FY2023 (22.01.2024), FY2024 (21.01.2025), FY2025 (20.01.2026); 1П — 8-K 15.07.2026; без топлива, участия в прибыли, спецстатей и сторонних услуг</t>
  </si>
  <si>
    <t>Средняя цена топлива</t>
  </si>
  <si>
    <t>$/галлон</t>
  </si>
  <si>
    <t>Потреблено топлива</t>
  </si>
  <si>
    <t>млн галл.</t>
  </si>
  <si>
    <t>Самолётов в парке на конец периода</t>
  </si>
  <si>
    <t>шт.</t>
  </si>
  <si>
    <t>Численность персонала на конец периода</t>
  </si>
  <si>
    <t>Средняя длина рейса</t>
  </si>
  <si>
    <t>миль</t>
  </si>
  <si>
    <t>Грузовые тонно-мили (RTM)</t>
  </si>
  <si>
    <t>Отчёт о прибылях и убытках</t>
  </si>
  <si>
    <t>Пассажирская выручка</t>
  </si>
  <si>
    <t>$ млн</t>
  </si>
  <si>
    <t>Грузовая выручка</t>
  </si>
  <si>
    <t>[Ф] Пресс-релизы 8-K по итогам 4 кв.: FY2019–2021 (8-K 19.01.2022), FY2022 (17.01.2023), FY2023 (22.01.2024), FY2024 (21.01.2025), FY2025 (20.01.2026); 1П — 8-K 15.07.2026; 10-K 2025 (Cargo 1,779/1,743)</t>
  </si>
  <si>
    <t>Прочая операционная выручка</t>
  </si>
  <si>
    <t>Итого операционная выручка</t>
  </si>
  <si>
    <t>формула; сверка с отчётной выручкой ниже</t>
  </si>
  <si>
    <t>Справочно: выручка по отчётности</t>
  </si>
  <si>
    <t>[Ф] XBRL RevenueFromContractWithCustomer (10-K/10-Q)</t>
  </si>
  <si>
    <t>в т.ч. выручка от партнёров MileagePlus в прочей выручке</t>
  </si>
  <si>
    <t>[Ф] 10-K 2025 прим. 2 ($3.2/2.9/2.7 млрд); 10-Q 2К26 ($1.8/1.6 млрд за 6 мес.). 2019–2022: не найдено в использованных документах</t>
  </si>
  <si>
    <t>Мили начислены (отложенная выручка, прирост)</t>
  </si>
  <si>
    <t>[Ф] 10-K 2025, roll-forward Frequent flyer deferred revenue</t>
  </si>
  <si>
    <t>Мили погашены на перелёты (признано в пасс. выручке)</t>
  </si>
  <si>
    <t>Расходы на топливо</t>
  </si>
  <si>
    <t>Зарплата и связанные расходы</t>
  </si>
  <si>
    <t>Амортизация (D&amp;A)</t>
  </si>
  <si>
    <t>[Ф] XBRL DepreciationDepletionAndAmortization (10-K/10-Q)</t>
  </si>
  <si>
    <t>Аренда самолётов (aircraft rent)</t>
  </si>
  <si>
    <t>[Ф] XBRL AircraftRental (10-K/10-Q)</t>
  </si>
  <si>
    <t>Специальные статьи (доход) в опер. расходах</t>
  </si>
  <si>
    <t>[Ф] Пресс-релизы 8-K по итогам 4 кв.: FY2019–2021 (8-K 19.01.2022), FY2022 (17.01.2023), FY2023 (22.01.2024), FY2024 (21.01.2025), FY2025 (20.01.2026); 1П — 8-K 15.07.2026; 2020–21 — гос. поддержка PSP (кредит)</t>
  </si>
  <si>
    <t>Участие сотрудников в прибыли (profit sharing)</t>
  </si>
  <si>
    <t>[Ф] Пресс-релизы 8-K по итогам 4 кв.: FY2019–2021 (8-K 19.01.2022), FY2022 (17.01.2023), FY2023 (22.01.2024), FY2024 (21.01.2025), FY2025 (20.01.2026); 1П — 8-K 15.07.2026; 2019 — [О] 0,17 цента × ASM из таблицы CASM-ex</t>
  </si>
  <si>
    <t>Операционная прибыль (GAAP)</t>
  </si>
  <si>
    <t>[Ф] XBRL OperatingIncomeLoss</t>
  </si>
  <si>
    <t>Скорр. операционная прибыль (non-GAAP)</t>
  </si>
  <si>
    <t>Процентные расходы (валовые)</t>
  </si>
  <si>
    <t>Чистые процентные расходы (за вычетом капитализ. % и % доходов)</t>
  </si>
  <si>
    <t>[Ф] Пресс-релизы 8-K по итогам 4 кв.: FY2019–2021 (8-K 19.01.2022), FY2022 (17.01.2023), FY2023 (22.01.2024), FY2024 (21.01.2025), FY2025 (20.01.2026); 1П — 8-K 15.07.2026 (сверка Adj. EBITDA)</t>
  </si>
  <si>
    <t>Налог на прибыль</t>
  </si>
  <si>
    <t>[Ф] XBRL IncomeTaxExpenseBenefit</t>
  </si>
  <si>
    <t>Чистая прибыль (GAAP)</t>
  </si>
  <si>
    <t>[Ф] XBRL NetIncomeLoss</t>
  </si>
  <si>
    <t>Скорр. прибыль до налога (non-GAAP)</t>
  </si>
  <si>
    <t>Скорр. разводнённая прибыль на акцию</t>
  </si>
  <si>
    <t>$</t>
  </si>
  <si>
    <t>Разводнённое средневзв. число акций</t>
  </si>
  <si>
    <t>Скорр. EBITDA (non-GAAP, определение UAL)</t>
  </si>
  <si>
    <t>Фиксированная часть операционной аренды (новое определение EBITDAR UAL)</t>
  </si>
  <si>
    <t>[Ф] 8-K 20.01.2026 и 15.07.2026; ранее не раскрывалось</t>
  </si>
  <si>
    <t>Денежные потоки</t>
  </si>
  <si>
    <t>Операционный денежный поток (CFO)</t>
  </si>
  <si>
    <t>[Ф] XBRL NetCashProvidedByOperatingActivities</t>
  </si>
  <si>
    <t>Капзатраты (GAAP, за вычетом возврата депозитов)</t>
  </si>
  <si>
    <t>[Ф] XBRL PaymentsToAcquireProductiveAssets</t>
  </si>
  <si>
    <t>Скорр. капзатраты (вкл. приобретённое в долг/лизинг)</t>
  </si>
  <si>
    <t>[Ф] Пресс-релизы 8-K по итогам 4 кв.: FY2019–2021 (8-K 19.01.2022), FY2022 (17.01.2023), FY2023 (22.01.2024), FY2024 (21.01.2025), FY2025 (20.01.2026); 1П — 8-K 15.07.2026; 2024 — пересчитано в релизе 20.01.2026; 2019 — не найдено</t>
  </si>
  <si>
    <t>FCF по определению UAL (non-GAAP)</t>
  </si>
  <si>
    <t>[Ф] Пресс-релизы 8-K по итогам 4 кв.: FY2019–2021 (8-K 19.01.2022), FY2022 (17.01.2023), FY2023 (22.01.2024), FY2024 (21.01.2025), FY2025 (20.01.2026); 1П — 8-K 15.07.2026; методика изменена в 2025 (2024 пересчитан 3,424→4,270)</t>
  </si>
  <si>
    <t>Выкуп акций</t>
  </si>
  <si>
    <t>[Ф] XBRL PaymentsForRepurchaseOfCommonStock; 10-Q 2К26</t>
  </si>
  <si>
    <t>Баланс (на конец периода)</t>
  </si>
  <si>
    <t>Денежные средства и эквиваленты</t>
  </si>
  <si>
    <t>[Ф] XBRL CashAndCashEquivalents; 8-K 15.07.2026</t>
  </si>
  <si>
    <t>Краткосрочные инвестиции</t>
  </si>
  <si>
    <t>[Ф] XBRL ShortTermInvestments</t>
  </si>
  <si>
    <t>Долг, финансовая аренда и прочие фин. обязательства</t>
  </si>
  <si>
    <t>[Ф] 2022–1П26: 8-K (таблица Adjusted total debt); 2019–2021: [О] XBRL LongTermDebt тек.+долгоср. + FinanceLeaseLiability</t>
  </si>
  <si>
    <t>Обязательства по операционной аренде</t>
  </si>
  <si>
    <t>[Ф] XBRL OperatingLeaseLiability; 8-K</t>
  </si>
  <si>
    <t>Пенсионные и пострабочие обязательства (долгоср.)</t>
  </si>
  <si>
    <t>[Ф] 2022+: 8-K; 2019–2021: XBRL DefinedBenefitPensionPlanLiabilitiesNoncurrent (только пенсии — определение уже)</t>
  </si>
  <si>
    <t>Авансы за билеты (air traffic liability)</t>
  </si>
  <si>
    <t>[Ф] Балансы в 8-K по итогам 4 кв. и 15.07.2026; 2019 — не найдено</t>
  </si>
  <si>
    <t>Отложенная выручка MileagePlus (тек.+долгоср.)</t>
  </si>
  <si>
    <t>[Ф] Балансы в 8-K; 10-K 2025 roll-forward</t>
  </si>
  <si>
    <t>Итого активы</t>
  </si>
  <si>
    <t>[Ф] XBRL Assets; 8-K 15.07.2026</t>
  </si>
  <si>
    <t>Итого краткосрочные обязательства</t>
  </si>
  <si>
    <t>[Ф] 8-K 15.07.2026 (баланс)</t>
  </si>
  <si>
    <t>Итого долгосрочные обязательства</t>
  </si>
  <si>
    <t>Собственный капитал</t>
  </si>
  <si>
    <t>[Ф] XBRL StockholdersEquity</t>
  </si>
  <si>
    <t>Проверка баланса: активы − обязательства − капитал (должно быть 0)</t>
  </si>
  <si>
    <t>формула</t>
  </si>
  <si>
    <t>Акций в обращении на конец периода</t>
  </si>
  <si>
    <t>[Ф] XBRL CommonStockSharesOutstanding; 1П26 — обложка 10-Q (324 583 772 на 09.07.2026)</t>
  </si>
  <si>
    <t>Цена акции на конец периода</t>
  </si>
  <si>
    <t>[Ф] Yahoo Finance, месячные цены закрытия (декабрь / июнь)</t>
  </si>
  <si>
    <t>TTM 2К26 = 2025 + 1П26 − 1П25 для потоков; для остатков — значение на 30.06.2026. Пустая ячейка = данные не найдены в использованных первичных источниках.</t>
  </si>
  <si>
    <t>Квартальные данные</t>
  </si>
  <si>
    <t>2К25</t>
  </si>
  <si>
    <t>3К25</t>
  </si>
  <si>
    <t>4К25</t>
  </si>
  <si>
    <t>1К26</t>
  </si>
  <si>
    <t>2К26</t>
  </si>
  <si>
    <t>ASM</t>
  </si>
  <si>
    <t>[Ф] 8-K: 16.07.2025, 15.10.2025, 20.01.2026, 21.04.2026, 15.07.2026</t>
  </si>
  <si>
    <t>Выручка</t>
  </si>
  <si>
    <t>TRASM</t>
  </si>
  <si>
    <t>CASM-ex</t>
  </si>
  <si>
    <t>Цена топлива</t>
  </si>
  <si>
    <t>$/галл.</t>
  </si>
  <si>
    <t>Скорр. операционная маржа</t>
  </si>
  <si>
    <t>%</t>
  </si>
  <si>
    <t>Скорр. маржа до налога</t>
  </si>
  <si>
    <t>Скорр. EPS</t>
  </si>
  <si>
    <t>Справочно: спот Gulf Coast jet (среднее за квартал)</t>
  </si>
  <si>
    <t>[Ф] FRED MJFUELUSGULF (EIA), среднее месячных значений</t>
  </si>
  <si>
    <t>Производные метрики UAL (формулы на основе листа Hist)</t>
  </si>
  <si>
    <t>Метрика</t>
  </si>
  <si>
    <t>Операционные</t>
  </si>
  <si>
    <t>Загрузка (load factor) = RPM / ASM</t>
  </si>
  <si>
    <t>Доходность (yield) = пасс. выручка / RPM</t>
  </si>
  <si>
    <t>PRASM = пасс. выручка / ASM</t>
  </si>
  <si>
    <t>TRASM (RASM) = выручка / ASM</t>
  </si>
  <si>
    <t>CASM = опер. расходы / ASM</t>
  </si>
  <si>
    <t>CASM-ex (отчётный)</t>
  </si>
  <si>
    <t>Топливо на ASM</t>
  </si>
  <si>
    <t>Спред TRASM − CASM</t>
  </si>
  <si>
    <t>Топливная эффективность: галлонов на 1000 ASM</t>
  </si>
  <si>
    <t>галл.</t>
  </si>
  <si>
    <t>Производительность: ASM на сотрудника</t>
  </si>
  <si>
    <t>Рост ASM г/г</t>
  </si>
  <si>
    <t>Рост TRASM г/г</t>
  </si>
  <si>
    <t>Рост CASM-ex г/г</t>
  </si>
  <si>
    <t>Структура выручки</t>
  </si>
  <si>
    <t>Доля пассажирской выручки</t>
  </si>
  <si>
    <t>Доля грузовой выручки</t>
  </si>
  <si>
    <t>Доля прочей выручки</t>
  </si>
  <si>
    <t>Партнёрская выручка MileagePlus / выручка</t>
  </si>
  <si>
    <t>[О] MileagePlus всего ≈ партнёрская + погашения на перелёты</t>
  </si>
  <si>
    <t>[О] нижняя оценка: не включает продажу миль, учтённую при начислении</t>
  </si>
  <si>
    <t>[О] MileagePlus всего / выручка</t>
  </si>
  <si>
    <t>Прибыльность</t>
  </si>
  <si>
    <t>Операционная маржа (GAAP)</t>
  </si>
  <si>
    <t>Чистая маржа</t>
  </si>
  <si>
    <t>EBITDAR = скорр. EBITDA + аренда самолётов (постоянное определение)</t>
  </si>
  <si>
    <t>формула; совпадает с отчётным EBITDAR UAL 2022–2024 (5,200 / 8,135 / 8,404)</t>
  </si>
  <si>
    <t>Справочно: EBITDAR по новому определению UAL (+ фикс. часть опер. аренды)</t>
  </si>
  <si>
    <t>формула; TTM = 8,373 как в 8-K 15.07.2026</t>
  </si>
  <si>
    <t>Маржа EBITDAR</t>
  </si>
  <si>
    <t>Денежный поток и качество прибыли</t>
  </si>
  <si>
    <t>FCF простой = CFO − капзатраты (GAAP)</t>
  </si>
  <si>
    <t>Маржа FCF</t>
  </si>
  <si>
    <t>CFO / чистая прибыль</t>
  </si>
  <si>
    <t>x</t>
  </si>
  <si>
    <t>Скорр. капзатраты / выручка</t>
  </si>
  <si>
    <t>Изменение ATL + отложенной выручки MileagePlus (приток в CFO)</t>
  </si>
  <si>
    <t>CFO без прироста ATL и отложенной выручки</t>
  </si>
  <si>
    <t>CFO без ATL / чистая прибыль</t>
  </si>
  <si>
    <t>(ATL + отложенная выручка) / выручка</t>
  </si>
  <si>
    <t>Долговая нагрузка</t>
  </si>
  <si>
    <t>Скорр. долг = долг + опер. аренда + пенсии</t>
  </si>
  <si>
    <t>Денежные средства + краткосрочные инвестиции</t>
  </si>
  <si>
    <t>Чистый скорр. долг</t>
  </si>
  <si>
    <t>формула; 1П26 = 18,105 как в 8-K 15.07.2026</t>
  </si>
  <si>
    <t>Чистый скорр. долг / EBITDAR</t>
  </si>
  <si>
    <t>Справочно: чистый долг / EBITDAR (новое опр. UAL)</t>
  </si>
  <si>
    <t>Чистый скорр. долг / CFO</t>
  </si>
  <si>
    <t>Чистый скорр. долг / CFO без прироста ATL</t>
  </si>
  <si>
    <t>Покрытие процентов = скорр. опер. прибыль / валовые %</t>
  </si>
  <si>
    <t>Покрытие фикс. платежей = EBITDAR / (валовые % + аренда самолётов)</t>
  </si>
  <si>
    <t>Собственный капитал / активы</t>
  </si>
  <si>
    <t>Нормализация через цикл</t>
  </si>
  <si>
    <t>[О] Средняя скорр. опер. маржа: 2019, 2022–2025 (без пандемии 2020–21)</t>
  </si>
  <si>
    <t>[О] mid-cycle маржа; 2022 — год восстановления, включён как слабая точка цикла</t>
  </si>
  <si>
    <t>[О] То же без 2022</t>
  </si>
  <si>
    <t>[О] верхняя граница нормальной маржи</t>
  </si>
  <si>
    <t>Допущения модели (все вводные прогноза — здесь)</t>
  </si>
  <si>
    <t>Параметр</t>
  </si>
  <si>
    <t>2026E</t>
  </si>
  <si>
    <t>2027E</t>
  </si>
  <si>
    <t>2028E</t>
  </si>
  <si>
    <t>2029E</t>
  </si>
  <si>
    <t>2030E</t>
  </si>
  <si>
    <t>2031E</t>
  </si>
  <si>
    <t>2032E</t>
  </si>
  <si>
    <t>Обоснование / тип</t>
  </si>
  <si>
    <t>Рынок и оценка</t>
  </si>
  <si>
    <t>Цена акции UAL</t>
  </si>
  <si>
    <t>[Ф] закрытие 13.10.2026, Yahoo Finance chart API (NASDAQ)</t>
  </si>
  <si>
    <t>Разводнённое число акций</t>
  </si>
  <si>
    <t>[Ф] средневзвешенное разводнённое 2К26 (8-K 15.07.2026); базовое 324,6 млн на 09.07.2026</t>
  </si>
  <si>
    <t>Безрисковая ставка (UST 10 лет)</t>
  </si>
  <si>
    <t>[Ф] FRED DGS10, 09.10.2026 = 5,24%</t>
  </si>
  <si>
    <t>Премия за риск рынка акций</t>
  </si>
  <si>
    <t>[Д] 5,0%: середина типичного диапазона 4,5–5,5% (Damodaran, implied ERP для США); не проверено на дату</t>
  </si>
  <si>
    <t>Стоимость долга до налога (вкл. аренду)</t>
  </si>
  <si>
    <t>[Д] UST10 5,24% + ~1,25 п.п. спред BB+/Ba1; проверка: ноты 2031 (5,375%) размещены 02.2026 при UST10 4,29% → спред ~1,1 п.п.</t>
  </si>
  <si>
    <t>Налоговая ставка</t>
  </si>
  <si>
    <t>[Д] эффективная ставка 2025 = 953/(3,353+953) = 22,1%; 1П26 = 20,7%</t>
  </si>
  <si>
    <t>PV налогового щита от убытков прошлых лет (NOL)</t>
  </si>
  <si>
    <t>[О] 10-K 2025: NOL $10,6 млрд (федеральные) → налоговый эффект $2,3 млрд вкл. штаты; использование за ~3–4 года, дисконт ~8,5% → ~$2,0 млрд</t>
  </si>
  <si>
    <t>FCFF 1П26 фактический (FCF UAL + чистые % после налога)</t>
  </si>
  <si>
    <t>[О] 3,225 + 273×(1−t); вычитается из FCFF 2026E, т.к. дисконтируем с 30.06.2026</t>
  </si>
  <si>
    <t>Вес метода Гордона в итоговой DCF-оценке</t>
  </si>
  <si>
    <t>[Д] 50/50 Гордон и выходной мультипликатор</t>
  </si>
  <si>
    <t>Общие операционные параметры (все сценарии)</t>
  </si>
  <si>
    <t>Изменение расхода топлива на ASM (обновление парка)</t>
  </si>
  <si>
    <t>[Д] 2019→2025: 15,06→14,12 галл./1000 ASM = −1,1% в год (Metrics)</t>
  </si>
  <si>
    <t>Расходы на сторонние услуги (не в CASM-ex)</t>
  </si>
  <si>
    <t>% выручки</t>
  </si>
  <si>
    <t>[Д] 1П26: 132/32,280 = 0,41%</t>
  </si>
  <si>
    <t>Участие в прибыли</t>
  </si>
  <si>
    <t>% от EBIT до него</t>
  </si>
  <si>
    <t>[Д] калибровка: 2025 704/(4,972+704) = 12,4%; 2024 12,0%</t>
  </si>
  <si>
    <t>D&amp;A</t>
  </si>
  <si>
    <t>[Д] TTM 2К26: 2,996/62,902 = 4,8%</t>
  </si>
  <si>
    <t>Фиксированная часть опер. аренды (для EBITDAR)</t>
  </si>
  <si>
    <t>[Д] TTM 2К26: 975/62,902 = 1,55%</t>
  </si>
  <si>
    <t>Ставка процента, заложенная в аренду</t>
  </si>
  <si>
    <t>[Д] = стоимость долга; часть арендного платежа, переносимая в финансирование</t>
  </si>
  <si>
    <t>Приток оборотного капитала (ATL, мили)</t>
  </si>
  <si>
    <t>% от прироста выручки</t>
  </si>
  <si>
    <t>[Д] (ATL+отлож. выручка)/выручка = 27% (2025); с учётом оттоков по прочим статьям берём 10%</t>
  </si>
  <si>
    <t>Чистые процентные расходы (для EPS)</t>
  </si>
  <si>
    <t>[Д] TTM 2К26 = 541 (8-K 15.07.2026)</t>
  </si>
  <si>
    <t>Скорр. капзатраты 2026E</t>
  </si>
  <si>
    <t>[Ф] прогноз UAL ~$7,5 млрд (Investor Update 15.07.2026)</t>
  </si>
  <si>
    <t>Терминальный рост (Гордон)</t>
  </si>
  <si>
    <t>[Д] ≈ номинальный рост ВВП США в долгосроке ниже текущей инфляции</t>
  </si>
  <si>
    <t>Доходность новых инвестиций в терминале (RONIC)</t>
  </si>
  <si>
    <t>[Д] чуть выше WACC: реинвестиции = g/RONIC = 25% NOPAT</t>
  </si>
  <si>
    <t>Сценарий: Пессимистичный (рецессия + дорогое топливо)</t>
  </si>
  <si>
    <t>Рост ASM</t>
  </si>
  <si>
    <t>[Д] см. логику базового сценария</t>
  </si>
  <si>
    <t>Базовый рост TRASM (без топлива)</t>
  </si>
  <si>
    <t>Перенос топлива в тариф</t>
  </si>
  <si>
    <t>доля</t>
  </si>
  <si>
    <t>Рост CASM-ex</t>
  </si>
  <si>
    <t>Цена топлива (all-in)</t>
  </si>
  <si>
    <t>Скорр. капзатраты</t>
  </si>
  <si>
    <t>Сценарий: Базовый</t>
  </si>
  <si>
    <t>[Д] 2026: 1П +3,4%, 2П ~+1,6% (прогноз UAL 0…+2%) (прогноз UAL 21.04.2026, сокращение из-за топлива); далее — поставки 787/MAX/A321 (10-Q: ожидаемые поставки)</t>
  </si>
  <si>
    <t>[Д] рост TRASM без переноса топлива; история 2019–2025: ~2,5% в год (TRASM 15,18→17,88, из них ~0,3 цента — топливо)</t>
  </si>
  <si>
    <t>[Д] доля изменения топливных затрат на ASM, переносимая в тариф; UAL: 1П ~50%, 3 кв. 80–90%, 4 кв. 100% (Investor Update 15.07.2026)</t>
  </si>
  <si>
    <t>[Д] 2026: 1П +6,0% (сокращение мощностей, новые договоры AFA/IAM); 2027+ — инфляция зарплат против эффекта масштаба</t>
  </si>
  <si>
    <t>[Д] 2026: 1П $3,53 факт, 2П ~$4,40 (спот Gulf Coast сент.–окт. $4,34–4,39 + ~$0,35 логистика/налоги); 2027 — EIA STEO окт. 2026 (Brent $84)</t>
  </si>
  <si>
    <t>[Д] 2026 — прогноз UAL $7,5 млрд; далее % выручки по контрактным обязательствам 10-K (2027–2030: $5,6–9,0 млрд в год только по заказам)</t>
  </si>
  <si>
    <t>Сценарий: Оптимистичный (премиальный спрос и маржа)</t>
  </si>
  <si>
    <t>Вероятности сценариев и выходные мультипликаторы</t>
  </si>
  <si>
    <t>Вероятность: пессимистичный</t>
  </si>
  <si>
    <t>[Д] Brent &gt;$100, UST10 &gt;5%, ослабление спроса — реальный риск 2027</t>
  </si>
  <si>
    <t>Вероятность: базовый</t>
  </si>
  <si>
    <t>[Д]</t>
  </si>
  <si>
    <t>Вероятность: оптимистичный</t>
  </si>
  <si>
    <t>Проверка: сумма вероятностей</t>
  </si>
  <si>
    <t>формула (должно быть 100%)</t>
  </si>
  <si>
    <t>Порог рекомендации Buy: потенциал выше</t>
  </si>
  <si>
    <t>[Д] правило рейтинга</t>
  </si>
  <si>
    <t>Порог рекомендации Sell: потенциал ниже</t>
  </si>
  <si>
    <t>Бета UAL: месячные доходности против S&amp;P 500, 60 месяцев (10.2021–10.2026)</t>
  </si>
  <si>
    <t>Месяц</t>
  </si>
  <si>
    <t>UAL (скорр. цена)</t>
  </si>
  <si>
    <t>S&amp;P 500</t>
  </si>
  <si>
    <t>Доходн. UAL</t>
  </si>
  <si>
    <t>Доходн. S&amp;P</t>
  </si>
  <si>
    <t>Бета (SLOPE)</t>
  </si>
  <si>
    <t>2021-10</t>
  </si>
  <si>
    <t>Скорр. бета (Блюм)</t>
  </si>
  <si>
    <t>2021-11</t>
  </si>
  <si>
    <t>2021-12</t>
  </si>
  <si>
    <t>Источник: Yahoo Finance chart API, месячные цены закрытия (adjclose); последняя точка — 13.10.2026 (неполный месяц).</t>
  </si>
  <si>
    <t>2022-01</t>
  </si>
  <si>
    <t>Для справки (тот же расчёт): DAL 1,42; AAL 1,44; LUV 1,23; ALK 1,42; JBLU 1,84 — медиана пиров 1,42.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</si>
  <si>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</si>
  <si>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</si>
  <si>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</si>
  <si>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</si>
  <si>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</si>
  <si>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</si>
  <si>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</si>
  <si>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</si>
  <si>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</si>
  <si>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</si>
  <si>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</si>
  <si>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</si>
  <si>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</si>
  <si>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</si>
  <si>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</si>
  <si>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</si>
  <si>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</si>
  <si>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</si>
  <si>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</si>
  <si>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</si>
  <si>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</si>
  <si>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</si>
  <si>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</si>
  <si>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</si>
  <si>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</si>
  <si>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</si>
  <si>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</si>
  <si>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</si>
  <si>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</si>
  <si>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</si>
  <si>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</si>
  <si>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</si>
  <si>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</si>
  <si>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</si>
  <si>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</si>
  <si>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</si>
  <si>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</si>
  <si>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</si>
  <si>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</si>
  <si>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</si>
  <si>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</si>
  <si>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</si>
  <si>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</si>
  <si>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</si>
  <si>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</si>
  <si>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</si>
  <si>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</si>
  <si>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</si>
  <si>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</si>
  <si>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</si>
  <si>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</si>
  <si>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</si>
  <si>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</si>
  <si>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</si>
  <si>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</si>
  <si>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</si>
  <si>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</si>
  <si>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Ставка дисконтирования (WACC) с учётом аренды</t>
  </si>
  <si>
    <t>Компонент</t>
  </si>
  <si>
    <t>Значение</t>
  </si>
  <si>
    <t>Безрисковая ставка</t>
  </si>
  <si>
    <t>Бета (5 лет, месячная, сырая)</t>
  </si>
  <si>
    <t>лист Beta; скорр. по Блюму ~1,24 — ниже, даёт WACC ~8,2%</t>
  </si>
  <si>
    <t>Премия за риск</t>
  </si>
  <si>
    <t>Стоимость собственного капитала = Rf + β × ERP</t>
  </si>
  <si>
    <t>Стоимость долга до налога</t>
  </si>
  <si>
    <t>Стоимость долга после налога</t>
  </si>
  <si>
    <t>Рыночная капитализация (цена × разводн. акции)</t>
  </si>
  <si>
    <t>Скорр. долг 30.06.2026 (долг + опер. аренда + пенсии)</t>
  </si>
  <si>
    <t>Metrics; аренда включена в долг</t>
  </si>
  <si>
    <t>Доля собственного капитала</t>
  </si>
  <si>
    <t>Доля долга</t>
  </si>
  <si>
    <t>WACC</t>
  </si>
  <si>
    <t>Чистый скорр. долг 30.06.2026 (вычитается из EV)</t>
  </si>
  <si>
    <t>DCF (FCFF) — три сценария, 2026E–2032E; дата оценки 30.06.2026 (баланс), середина периода</t>
  </si>
  <si>
    <t>Пессимистичный (рецессия + дорогое топливо)</t>
  </si>
  <si>
    <t>2025A</t>
  </si>
  <si>
    <t>Галлонов на 1000 ASM</t>
  </si>
  <si>
    <t>TRASM = TRASM(t−1)×(1+базовый рост) + перенос×Δтопливо/ASM</t>
  </si>
  <si>
    <t>Нетопливные расходы (CASM-ex × ASM)</t>
  </si>
  <si>
    <t>Топливо</t>
  </si>
  <si>
    <t>Сторонние услуги</t>
  </si>
  <si>
    <t>EBIT до участия в прибыли</t>
  </si>
  <si>
    <t>Скорр. EBIT</t>
  </si>
  <si>
    <t>EBITDAR = EBIT + D&amp;A + фикс. аренда</t>
  </si>
  <si>
    <t>Обязательства по опер. аренде</t>
  </si>
  <si>
    <t>Процентная часть аренды (возвращается в EBIT)</t>
  </si>
  <si>
    <t>NOPAT (с поправкой на аренду) = (EBIT + % аренды) × (1 − t)</t>
  </si>
  <si>
    <t>Приток оборотного капитала</t>
  </si>
  <si>
    <t>FCFF = NOPAT + D&amp;A − капзатраты + Δоборотный капитал</t>
  </si>
  <si>
    <t>FCFF к дисконтированию (2026E — только 2П: минус факт 1П26)</t>
  </si>
  <si>
    <t>Период дисконтирования (лет от 30.06.2026, середина периода)</t>
  </si>
  <si>
    <t>лет</t>
  </si>
  <si>
    <t>[Д] середина периода; 2П26 = 0,25</t>
  </si>
  <si>
    <t>Коэффициент дисконтирования</t>
  </si>
  <si>
    <t>PV FCFF</t>
  </si>
  <si>
    <t>EPS скорр. = (EBIT − чистые %) × (1 − t) / акции</t>
  </si>
  <si>
    <t>Сумма PV FCFF 2П26–2032E</t>
  </si>
  <si>
    <t>TV Гордон = NOPAT×(1+g)×(1−g/RONIC)/(WACC−g)</t>
  </si>
  <si>
    <t>Выходной мультипликатор EV/EBITDAR</t>
  </si>
  <si>
    <t>история UAL: мин / медиана / макс (лист Multiples)</t>
  </si>
  <si>
    <t>TV по мультипликатору = EV/EBITDAR × EBITDAR 2032E</t>
  </si>
  <si>
    <t>Дисконт TV (6,5 года)</t>
  </si>
  <si>
    <t>EV (Гордон)</t>
  </si>
  <si>
    <t>EV (мультипликатор)</t>
  </si>
  <si>
    <t>Доля TV в EV (Гордон)</t>
  </si>
  <si>
    <t>Стоимость акции (Гордон) = (EV − чистый скорр. долг + NOL) / акции</t>
  </si>
  <si>
    <t>Стоимость акции (мультипликатор)</t>
  </si>
  <si>
    <t>Стоимость акции DCF (взвешенная)</t>
  </si>
  <si>
    <t>Проверка: EV/EBITDAR, заложенный в TV Гордона</t>
  </si>
  <si>
    <t>Базовый</t>
  </si>
  <si>
    <t>Оптимистичный (премиальный спрос и маржа)</t>
  </si>
  <si>
    <t>Аренда: операционная аренда включена в долг (EV, WACC); процентная часть арендного платежа возвращена в NOPAT, чтобы избежать двойного учёта.</t>
  </si>
  <si>
    <t>FCFF облагается полной ставкой 22%; фактический налоговый щит NOL ($2,3 млрд) добавлен отдельно как актив (Assumptions). 2026E одинаков во всех сценариях.</t>
  </si>
  <si>
    <t>Reverse DCF: какой рост RASM и какой WACC заложены в цену $103,23</t>
  </si>
  <si>
    <t>Поправка к базовому росту TRASM в 2027–2032 (п.п. в год)</t>
  </si>
  <si>
    <t>Поправки</t>
  </si>
  <si>
    <t>п.п.</t>
  </si>
  <si>
    <t>[Д] сетка</t>
  </si>
  <si>
    <t>Базовый — reverse DCF</t>
  </si>
  <si>
    <t>Итог reverse DCF</t>
  </si>
  <si>
    <t>Стоимость акции при поправке</t>
  </si>
  <si>
    <t>Маржа 2032E при поправке</t>
  </si>
  <si>
    <t>Поправка к росту TRASM, заложенная в цену</t>
  </si>
  <si>
    <t>п.п./год</t>
  </si>
  <si>
    <t>линейная интерполяция по сетке</t>
  </si>
  <si>
    <t>Операционная маржа 2032E, заложенная в цену</t>
  </si>
  <si>
    <t>сравнить с mid-cycle маржой (Metrics)</t>
  </si>
  <si>
    <t>Справочно: mid-cycle маржа UAL</t>
  </si>
  <si>
    <t>Сравнительная оценка: пиры (TTM на 30.06.2026, цены на 13.10.2026)</t>
  </si>
  <si>
    <t>UAL</t>
  </si>
  <si>
    <t>DAL</t>
  </si>
  <si>
    <t>AAL</t>
  </si>
  <si>
    <t>LUV</t>
  </si>
  <si>
    <t>ALK</t>
  </si>
  <si>
    <t>JBLU</t>
  </si>
  <si>
    <t>Медиана пиров</t>
  </si>
  <si>
    <t>Вводные (XBRL companyfacts SEC, 10-K 2025 + 10-Q 2К26)</t>
  </si>
  <si>
    <t>Цена акции 13.10.2026</t>
  </si>
  <si>
    <t>[Ф] Yahoo Finance chart API, закрытие 13.10.2026</t>
  </si>
  <si>
    <t>Акций</t>
  </si>
  <si>
    <t>[Ф] обложки 10-Q (DAL — 10-Q 3К26); UAL — разводнённые 2К26 для согласования с DCF</t>
  </si>
  <si>
    <t>Выручка TTM</t>
  </si>
  <si>
    <t>[Ф] XBRL Revenues/RevenueFromContract…: FY2025 + 1П26 − 1П25</t>
  </si>
  <si>
    <t>Операционная прибыль TTM (GAAP)</t>
  </si>
  <si>
    <t>[Ф] XBRL OperatingIncomeLoss (включая спецстатьи: у ALK/AAL/JBLU — расходы на интеграцию/реструктуризацию; у UAL — доход $615 млн от sale-leaseback)</t>
  </si>
  <si>
    <t>D&amp;A TTM</t>
  </si>
  <si>
    <t>[Ф] XBRL</t>
  </si>
  <si>
    <t>Аренда самолётов TTM</t>
  </si>
  <si>
    <t>[Ф] XBRL AircraftRental; LUV — отдельно не раскрывается (0, флот в собственности)</t>
  </si>
  <si>
    <t>Чистая прибыль TTM</t>
  </si>
  <si>
    <t>CFO TTM</t>
  </si>
  <si>
    <t>Капзатраты TTM</t>
  </si>
  <si>
    <t>[Ф] XBRL; DAL = ProductiveAssets FY25 + (FlightEquipment+Other) 1П26 − 1П25; ALK = FlightEquipment + OtherPP&amp;E</t>
  </si>
  <si>
    <t>Долг + фин. аренда (тек. + долгоср.)</t>
  </si>
  <si>
    <t>[Ф] XBRL LongTermDebtAndCapitalLeaseObligations (+Current), 30.06.2026</t>
  </si>
  <si>
    <t>Опер. аренда (обязательства)</t>
  </si>
  <si>
    <t>[Ф] XBRL OperatingLeaseLiability (Current+Noncurrent)</t>
  </si>
  <si>
    <t>Пенсии и пострабочие (долгоср.)</t>
  </si>
  <si>
    <t>[Ф] XBRL; UAL — 8-K 15.07.2026; JBLU — не найдено (0)</t>
  </si>
  <si>
    <t>Денежные средства + краткоср. инвестиции</t>
  </si>
  <si>
    <t>[Ф] XBRL; DAL и LUV — краткоср. инвестиции не найдены в XBRL (0)</t>
  </si>
  <si>
    <t>Прогноз EPS FY2026 (консенсус/гайденс)</t>
  </si>
  <si>
    <t>[Ф] UAL — консенсус Yahoo Finance (~13.10.2026, 23 аналитика); DAL — середина гайденса $5,10–5,60 (09.10.2026); AAL — середина (−0,65…0,65) (23.07.2026); LUV/ALK/JBLU — не найдено</t>
  </si>
  <si>
    <t>Расчёт (формулы)</t>
  </si>
  <si>
    <t>Капитализация</t>
  </si>
  <si>
    <t>EV = капитализация + долг + опер. аренда + пенсии − ден. средства</t>
  </si>
  <si>
    <t>EBITDAR (GAAP) = опер. прибыль + D&amp;A + аренда самолётов</t>
  </si>
  <si>
    <t>EV / EBITDAR</t>
  </si>
  <si>
    <t>EV / выручка</t>
  </si>
  <si>
    <t>P/E TTM (GAAP)</t>
  </si>
  <si>
    <t>P/E FY2026 (консенсус/гайденс)</t>
  </si>
  <si>
    <t>AAL — н/п (прибыль около нуля)</t>
  </si>
  <si>
    <t>FCF yield = (CFO − капзатраты) / капитализация</t>
  </si>
  <si>
    <t>P/FCF</t>
  </si>
  <si>
    <t>P/B</t>
  </si>
  <si>
    <t>Операционная маржа TTM (GAAP)</t>
  </si>
  <si>
    <t>Медиана пиров рассчитана по DAL, AAL, LUV, ALK, JBLU (без UAL); MEDIAN игнорирует «н/п».</t>
  </si>
  <si>
    <t>Некорректность сравнения: LUV — point-to-point лоукостер (короткие рейсы, без премиум-кабин до 2026); JBLU и ALK — убыточны (интеграция Hawaiian у ALK), их EV/EBITDAR завышен;</t>
  </si>
  <si>
    <t>AAL — отрицательный капитал (P/B н/п) и прибыль около нуля; DAL — собственный НПЗ (снижает цену топлива ~$0,3–0,4/галл.) и выручка НПЗ в TRASM; у UAL TTM-прибыль включает $615 млн разовых доходов.</t>
  </si>
  <si>
    <t>История мультипликаторов UAL (на конец года; 2020–21 не показательны — убытки)</t>
  </si>
  <si>
    <t>Текущий</t>
  </si>
  <si>
    <t>Цена акции</t>
  </si>
  <si>
    <t>2019 — [О] на основе XBRL (определение пенсий уже)</t>
  </si>
  <si>
    <t>EV</t>
  </si>
  <si>
    <t>EBITDAR (скорр. EBITDA + аренда самолётов)</t>
  </si>
  <si>
    <t>Скорр. EPS (текущий — TTM)</t>
  </si>
  <si>
    <t>P/E (скорр.)</t>
  </si>
  <si>
    <t>FCF yield (CFO − капзатраты GAAP)</t>
  </si>
  <si>
    <t>Статистика истории UAL (2019, 2022–2025)</t>
  </si>
  <si>
    <t>EV/EBITDAR</t>
  </si>
  <si>
    <t>P/E</t>
  </si>
  <si>
    <t>Минимум</t>
  </si>
  <si>
    <t>Медиана</t>
  </si>
  <si>
    <t>Максимум</t>
  </si>
  <si>
    <t>Оценка UAL по мультипликаторам</t>
  </si>
  <si>
    <t>EV/EBITDAR медиана пиров × EBITDAR TTM UAL (GAAP)</t>
  </si>
  <si>
    <t>$/акция</t>
  </si>
  <si>
    <t>пиры убыточны/искажены — справочно</t>
  </si>
  <si>
    <t>EV/EBITDAR медиана истории UAL × EBITDAR 2027E (база)</t>
  </si>
  <si>
    <t>EBITDAR 2027E — лист DCF, базовый сценарий</t>
  </si>
  <si>
    <t>Нормализованная EPS = mid-cycle маржа × выручка 2027E (база)</t>
  </si>
  <si>
    <t>[О]</t>
  </si>
  <si>
    <t>P/E на нормализованной EPS (текущая цена)</t>
  </si>
  <si>
    <t>Нормализованная EPS × медианный P/E истории</t>
  </si>
  <si>
    <t>Международные пиры (только контекст; мультипликаторы не рассчитаны)</t>
  </si>
  <si>
    <t>Air France-KLM (AF.PA) €10,48; IAG (IAG.L) 412,45 пенса; Lufthansa (LHA.DE) €7,10 — котировки Yahoo Finance 14.10.2026 (внутри дня).</t>
  </si>
  <si>
    <t>Причины не сравнивать напрямую: МСФО (IFRS 16 — вся аренда уже в EBITDA, EBITDAR ≈ EBITDA), другая валюта, госучастие (AF-KLM), структура хабов ЕС и регулирование слотов.</t>
  </si>
  <si>
    <t>Первичные отчёты за 1П26 в рамках работы не собраны — не найдено; на вывод не влияет, т.к. рекомендация опирается на DCF и собственную историю UAL.</t>
  </si>
  <si>
    <t>Сценарии и целевая цена (горизонт 12 месяцев)</t>
  </si>
  <si>
    <t>Bear</t>
  </si>
  <si>
    <t>Base</t>
  </si>
  <si>
    <t>Bull</t>
  </si>
  <si>
    <t>Взвешенно</t>
  </si>
  <si>
    <t>Вероятность</t>
  </si>
  <si>
    <t>Стоимость акции DCF</t>
  </si>
  <si>
    <t>Потенциал к цене $103,23</t>
  </si>
  <si>
    <t>EPS 2027E</t>
  </si>
  <si>
    <t>Опер. маржа 2027E</t>
  </si>
  <si>
    <t>Опер. маржа 2032E (терминал)</t>
  </si>
  <si>
    <t>Топливо 2027E</t>
  </si>
  <si>
    <t>DCF Гордон</t>
  </si>
  <si>
    <t>DCF выходной мультипликатор</t>
  </si>
  <si>
    <t>Итог</t>
  </si>
  <si>
    <t>Целевая цена (взвешенная DCF, округл. до $1)</t>
  </si>
  <si>
    <t>Нижняя граница диапазона = мин(DCF база, EV/EBITDAR ист., норм. P/E)</t>
  </si>
  <si>
    <t>Верхняя граница = макс(взвешенная DCF, EV/EBITDAR ист., норм. P/E)</t>
  </si>
  <si>
    <t>Потенциал к целевой цене</t>
  </si>
  <si>
    <t>Рекомендация (правило: Buy &gt; +15%, Sell &lt; −10%)</t>
  </si>
  <si>
    <t>Справочно: взвешенная DCF через 12 мес. (× (1 + Ke))</t>
  </si>
  <si>
    <t>не используется в целевой цене (консервативно); UAL не платит дивиденды</t>
  </si>
  <si>
    <t>Чувствительность (базовый сценарий)</t>
  </si>
  <si>
    <t>1) Стоимость акции DCF (метод Гордона), $: WACC × терминальный рост</t>
  </si>
  <si>
    <t>WACC \ g</t>
  </si>
  <si>
    <t>Метод Гордона; FCFF не зависят от WACC и g. Центральная ячейка (8,5% / 2,5%) ≈ значению Гордона в DCF при WACC 8,5%.</t>
  </si>
  <si>
    <t>2) Reverse DCF по WACC: стоимость акции (Гордон, g = 2,5%) по сетке WACC</t>
  </si>
  <si>
    <t>Стоимость, $</t>
  </si>
  <si>
    <t>WACC, заложенный в цену</t>
  </si>
  <si>
    <t>3) EPS 2027E (база), $: цена топлива 2027E × отклонение TRASM 2027E от базы</t>
  </si>
  <si>
    <t>Топливо $/галл. \ ΔTRASM</t>
  </si>
  <si>
    <t>Перенос топлива в тариф в этой таблице не моделируется (статический эффект); в DCF перенос учитывается.</t>
  </si>
  <si>
    <t>4) Чувствительность операционной прибыли, $ млн (до участия в прибыли и без переноса в тариф)</t>
  </si>
  <si>
    <t>2027E (база)</t>
  </si>
  <si>
    <t>Топливо +10%</t>
  </si>
  <si>
    <t>Топливо −10%</t>
  </si>
  <si>
    <t>RASM +1%</t>
  </si>
  <si>
    <t>RASM −1%</t>
  </si>
  <si>
    <t>Справочно: скорр. опер. прибыль</t>
  </si>
  <si>
    <t>Топливо ±10% в % от опер. прибыли</t>
  </si>
  <si>
    <t>RASM ±1% в % от опер. прибыли</t>
  </si>
  <si>
    <t>Долг, ликвидность, поставки самолётов</t>
  </si>
  <si>
    <t>График денежных обязательств на 31.12.2025, $ млрд</t>
  </si>
  <si>
    <t>2026</t>
  </si>
  <si>
    <t>2027</t>
  </si>
  <si>
    <t>2028</t>
  </si>
  <si>
    <t>2029</t>
  </si>
  <si>
    <t>2030</t>
  </si>
  <si>
    <t>После 2030</t>
  </si>
  <si>
    <t>Итого</t>
  </si>
  <si>
    <t>Долг и проценты</t>
  </si>
  <si>
    <t>$ млрд</t>
  </si>
  <si>
    <t>[Ф] 10-K 2025, Liquidity — material cash requirements</t>
  </si>
  <si>
    <t>Финансовая аренда</t>
  </si>
  <si>
    <t>Операционная аренда</t>
  </si>
  <si>
    <t>Прочие фин. обязательства</t>
  </si>
  <si>
    <t>Капитальные закупки (самолёты и пр.)</t>
  </si>
  <si>
    <t>Итого долг + аренда</t>
  </si>
  <si>
    <t>После 31.12.2025: выпущены ноты $1 млрд 2029 (4,875%) и $1 млрд 2031 (5,375%); во 2К26 привлечено $3,7 млрд банковских кредитов, досрочно погашено ~$1 млрд дорогого долга (8-K 15.07.2026).</t>
  </si>
  <si>
    <t>Ликвидность и рейтинги на 30.06.2026</t>
  </si>
  <si>
    <t>Доступная ликвидность (вкл. невыбранные кредитные линии)</t>
  </si>
  <si>
    <t>[Ф] 8-K 15.07.2026</t>
  </si>
  <si>
    <t>Ликвидность / выручка TTM</t>
  </si>
  <si>
    <t>Револьверная линия (не выбрана на 31.12.2025)</t>
  </si>
  <si>
    <t>[Ф] 10-K 2025</t>
  </si>
  <si>
    <t>Ковенант: минимальная ликвидность</t>
  </si>
  <si>
    <t>Рейтинги S&amp;P / Moody's / Fitch</t>
  </si>
  <si>
    <t>BB+ / Ba1 / BB+</t>
  </si>
  <si>
    <t>[Ф] 10-Q 2К26: S&amp;P BB+ (позитивный), Moody's Ba1 (стабильный), Fitch BB+ (стабильный); цель UAL — инвестиционный рейтинг в 2026</t>
  </si>
  <si>
    <t>Остаток программы выкупа акций</t>
  </si>
  <si>
    <t>[Ф] 10-Q 2К26 (на 09.07.2026); во 2К26 выкупа не было</t>
  </si>
  <si>
    <t>Долговая нагрузка: через EBITDAR и через денежный поток</t>
  </si>
  <si>
    <t>Чистый скорр. долг / CFO без прироста ATL и миль</t>
  </si>
  <si>
    <t>Покрытие фикс. платежей (EBITDAR / (% + аренда))</t>
  </si>
  <si>
    <t>Вывод: CFO у авиакомпании завышен притоком авансов (ATL) и нулевыми денежными налогами (NOL), поэтому долг/CFO выглядит мягче; надёжнее EBITDAR с поправкой на аренду, оценённый через цикл.</t>
  </si>
  <si>
    <t>Поставки самолётов: контрактные vs ожидаемые (10-Q 2К26)</t>
  </si>
  <si>
    <t>Контракт 2П26</t>
  </si>
  <si>
    <t>Контракт 2027</t>
  </si>
  <si>
    <t>Контракт после</t>
  </si>
  <si>
    <t>Ожид. 2П26</t>
  </si>
  <si>
    <t>Ожид. 2027</t>
  </si>
  <si>
    <t>Ожид. после</t>
  </si>
  <si>
    <t>Boeing 787</t>
  </si>
  <si>
    <t>[Ф] 10-Q 2К26, Firm Order and Option Aircraft</t>
  </si>
  <si>
    <t>Boeing 737 MAX 9</t>
  </si>
  <si>
    <t>Boeing 737 MAX 10</t>
  </si>
  <si>
    <t>Airbus A321neo</t>
  </si>
  <si>
    <t>Airbus A321XLR</t>
  </si>
  <si>
    <t>Boeing: ожидаемо / контрактно (2П26 + 2027)</t>
  </si>
  <si>
    <t>формула: доля контрактных поставок Boeing, которую UAL реально ожидает</t>
  </si>
  <si>
    <t>A350: 45 твёрдых заказов без графика поставок (10-K 2025). MAX 10 не сертифицирован — поставки сдвинуты на 2027+.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</si>
</sst>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"/>
    <numFmt numFmtId="165" formatCode="0.0%"/>
    <numFmt numFmtId="166" formatCode="0.000"/>
    <numFmt numFmtId="167" formatCode="\+0.0%;\-0.0%;0.0%"/>
    <numFmt numFmtId="168" formatCode="\+0.00%;\-0.00%"/>
    <numFmt numFmtId="169" formatCode="\+0%;\-0%"/>
    <numFmt numFmtId="170" formatCode="\+0.0%;\-0.0%"/>
    <numFmt numFmtId="171" formatCode="\+0%;\-0%;0%"/>
  </numFmts>
  <fonts count="10" x14ac:knownFonts="1">
    <font>
      <sz val="11"/>
      <color theme="1"/>
      <name val="Calibri"/>
      <family val="2"/>
      <scheme val="minor"/>
    </font>
    <font>
      <b/>
      <sz val="12"/>
      <color rgb="FF1F3864"/>
      <name val="Arial"/>
    </font>
    <font>
      <sz val="9"/>
      <color rgb="FF000000"/>
      <name val="Arial"/>
    </font>
    <font>
      <b/>
      <sz val="9"/>
      <name val="Arial"/>
    </font>
    <font>
      <b/>
      <sz val="9"/>
      <color rgb="FFFFFFFF"/>
      <name val="Arial"/>
    </font>
    <font>
      <i/>
      <sz val="8"/>
      <color rgb="FF595959"/>
      <name val="Arial"/>
    </font>
    <font>
      <sz val="9"/>
      <color rgb="FF0000FF"/>
      <name val="Arial"/>
    </font>
    <font>
      <b/>
      <sz val="9"/>
      <color rgb="FF000000"/>
      <name val="Arial"/>
    </font>
    <font>
      <b/>
      <sz val="9"/>
      <color rgb="FF0000FF"/>
      <name val="Arial"/>
    </font>
    <font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9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3" fillId="3" borderId="0" xfId="0" applyFont="1" applyFill="1"/>
    <xf numFmtId="0" fontId="9" fillId="3" borderId="0" xfId="0" applyFont="1" applyFill="1"/>
    <xf numFmtId="0" fontId="5" fillId="0" borderId="0" xfId="0" applyFont="1"/>
    <xf numFmtId="3" fontId="6" fillId="0" borderId="0" xfId="0" applyNumberFormat="1" applyFont="1"/>
    <xf numFmtId="3" fontId="2" fillId="0" borderId="0" xfId="0" applyNumberFormat="1" applyFont="1"/>
    <xf numFmtId="2" fontId="6" fillId="0" borderId="0" xfId="0" applyNumberFormat="1" applyFont="1"/>
    <xf numFmtId="164" fontId="6" fillId="0" borderId="0" xfId="0" applyNumberFormat="1" applyFont="1"/>
    <xf numFmtId="164" fontId="2" fillId="0" borderId="0" xfId="0" applyNumberFormat="1" applyFont="1"/>
    <xf numFmtId="3" fontId="7" fillId="0" borderId="0" xfId="0" applyNumberFormat="1" applyFont="1"/>
    <xf numFmtId="2" fontId="2" fillId="0" borderId="0" xfId="0" applyNumberFormat="1" applyFont="1"/>
    <xf numFmtId="165" fontId="6" fillId="0" borderId="0" xfId="0" applyNumberFormat="1" applyFont="1"/>
    <xf numFmtId="165" fontId="2" fillId="0" borderId="0" xfId="0" applyNumberFormat="1" applyFont="1"/>
    <xf numFmtId="165" fontId="2" fillId="4" borderId="0" xfId="0" applyNumberFormat="1" applyFont="1" applyFill="1"/>
    <xf numFmtId="10" fontId="6" fillId="0" borderId="0" xfId="0" applyNumberFormat="1" applyFont="1"/>
    <xf numFmtId="9" fontId="6" fillId="0" borderId="0" xfId="0" applyNumberFormat="1" applyFont="1"/>
    <xf numFmtId="9" fontId="2" fillId="0" borderId="0" xfId="0" applyNumberFormat="1" applyFont="1"/>
    <xf numFmtId="0" fontId="4" fillId="2" borderId="0" xfId="0" applyFont="1" applyFill="1"/>
    <xf numFmtId="2" fontId="9" fillId="0" borderId="0" xfId="0" applyNumberFormat="1" applyFont="1"/>
    <xf numFmtId="0" fontId="6" fillId="0" borderId="0" xfId="0" applyFont="1"/>
    <xf numFmtId="165" fontId="9" fillId="0" borderId="0" xfId="0" applyNumberFormat="1" applyFont="1"/>
    <xf numFmtId="10" fontId="2" fillId="0" borderId="0" xfId="0" applyNumberFormat="1" applyFont="1"/>
    <xf numFmtId="10" fontId="7" fillId="0" borderId="0" xfId="0" applyNumberFormat="1" applyFont="1"/>
    <xf numFmtId="10" fontId="7" fillId="4" borderId="0" xfId="0" applyNumberFormat="1" applyFont="1" applyFill="1"/>
    <xf numFmtId="166" fontId="2" fillId="0" borderId="0" xfId="0" applyNumberFormat="1" applyFont="1"/>
    <xf numFmtId="2" fontId="7" fillId="4" borderId="0" xfId="0" applyNumberFormat="1" applyFont="1" applyFill="1"/>
    <xf numFmtId="167" fontId="6" fillId="0" borderId="0" xfId="0" applyNumberFormat="1" applyFont="1"/>
    <xf numFmtId="168" fontId="7" fillId="4" borderId="0" xfId="0" applyNumberFormat="1" applyFont="1" applyFill="1"/>
    <xf numFmtId="165" fontId="7" fillId="4" borderId="0" xfId="0" applyNumberFormat="1" applyFont="1" applyFill="1"/>
    <xf numFmtId="164" fontId="2" fillId="4" borderId="0" xfId="0" applyNumberFormat="1" applyFont="1" applyFill="1"/>
    <xf numFmtId="169" fontId="2" fillId="0" borderId="0" xfId="0" applyNumberFormat="1" applyFont="1"/>
    <xf numFmtId="1" fontId="7" fillId="4" borderId="0" xfId="0" applyNumberFormat="1" applyFont="1" applyFill="1"/>
    <xf numFmtId="1" fontId="2" fillId="0" borderId="0" xfId="0" applyNumberFormat="1" applyFont="1"/>
    <xf numFmtId="170" fontId="7" fillId="0" borderId="0" xfId="0" applyNumberFormat="1" applyFont="1"/>
    <xf numFmtId="3" fontId="7" fillId="4" borderId="0" xfId="0" applyNumberFormat="1" applyFont="1" applyFill="1"/>
    <xf numFmtId="165" fontId="8" fillId="0" borderId="0" xfId="0" applyNumberFormat="1" applyFont="1"/>
    <xf numFmtId="1" fontId="9" fillId="0" borderId="0" xfId="0" applyNumberFormat="1" applyFont="1"/>
    <xf numFmtId="164" fontId="9" fillId="0" borderId="0" xfId="0" applyNumberFormat="1" applyFont="1"/>
    <xf numFmtId="10" fontId="9" fillId="4" borderId="0" xfId="0" applyNumberFormat="1" applyFont="1" applyFill="1"/>
    <xf numFmtId="171" fontId="8" fillId="0" borderId="0" xfId="0" applyNumberFormat="1" applyFont="1"/>
    <xf numFmtId="2" fontId="8" fillId="0" borderId="0" xfId="0" applyNumberFormat="1" applyFont="1"/>
    <xf numFmtId="3" fontId="9" fillId="0" borderId="0" xfId="0" applyNumberFormat="1" applyFont="1"/>
    <xf numFmtId="9" fontId="9" fillId="0" borderId="0" xfId="0" applyNumberFormat="1" applyFont="1"/>
    <xf numFmtId="164" fontId="7" fillId="0" borderId="0" xfId="0" applyNumberFormat="1" applyFont="1"/>
    <xf numFmtId="3" fontId="6" fillId="0" borderId="0" xfId="0" applyNumberFormat="1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showGridLines="0" tabSelected="1" workbookViewId="0"/>
  </sheetViews>
  <sheetFormatPr baseColWidth="10" defaultColWidth="8.83203125" defaultRowHeight="15" x14ac:dyDescent="0.2"/>
  <cols>
    <col min="1" max="1" width="120" customWidth="1"/>
    <col min="2" max="2" width="9" customWidth="1"/>
    <col min="3" max="3" width="70" customWidth="1"/>
  </cols>
  <sheetData>
    <row r="1" spans="1:1" ht="16" x14ac:dyDescent="0.2">
      <c r="A1" s="1" t="s">
        <v>0</v>
      </c>
    </row>
    <row r="2" spans="1:1" x14ac:dyDescent="0.2">
      <c r="A2" s="2"/>
    </row>
    <row r="3" spans="1:1" x14ac:dyDescent="0.2">
      <c r="A3" s="3" t="s">
        <v>1</v>
      </c>
    </row>
    <row r="4" spans="1:1" x14ac:dyDescent="0.2">
      <c r="A4" s="3" t="s">
        <v>2</v>
      </c>
    </row>
    <row r="5" spans="1:1" x14ac:dyDescent="0.2">
      <c r="A5" s="3" t="s">
        <v>3</v>
      </c>
    </row>
    <row r="6" spans="1:1" x14ac:dyDescent="0.2">
      <c r="A6" s="3" t="s">
        <v>4</v>
      </c>
    </row>
    <row r="7" spans="1:1" x14ac:dyDescent="0.2">
      <c r="A7" s="3"/>
    </row>
    <row r="8" spans="1:1" x14ac:dyDescent="0.2">
      <c r="A8" s="4" t="s">
        <v>5</v>
      </c>
    </row>
    <row r="9" spans="1:1" x14ac:dyDescent="0.2">
      <c r="A9" s="4" t="s">
        <v>6</v>
      </c>
    </row>
    <row r="10" spans="1:1" x14ac:dyDescent="0.2">
      <c r="A10" s="3" t="s">
        <v>7</v>
      </c>
    </row>
    <row r="11" spans="1:1" x14ac:dyDescent="0.2">
      <c r="A11" s="3"/>
    </row>
    <row r="12" spans="1:1" x14ac:dyDescent="0.2">
      <c r="A12" s="4" t="s">
        <v>8</v>
      </c>
    </row>
    <row r="13" spans="1:1" x14ac:dyDescent="0.2">
      <c r="A13" s="3" t="s">
        <v>9</v>
      </c>
    </row>
    <row r="14" spans="1:1" x14ac:dyDescent="0.2">
      <c r="A14" s="3" t="s">
        <v>10</v>
      </c>
    </row>
    <row r="15" spans="1:1" x14ac:dyDescent="0.2">
      <c r="A15" s="3" t="s">
        <v>11</v>
      </c>
    </row>
    <row r="16" spans="1:1" x14ac:dyDescent="0.2">
      <c r="A16" s="3" t="s">
        <v>12</v>
      </c>
    </row>
    <row r="17" spans="1:1" x14ac:dyDescent="0.2">
      <c r="A17" s="3" t="s">
        <v>13</v>
      </c>
    </row>
    <row r="18" spans="1:1" x14ac:dyDescent="0.2">
      <c r="A18" s="3" t="s">
        <v>14</v>
      </c>
    </row>
    <row r="19" spans="1:1" x14ac:dyDescent="0.2">
      <c r="A19" s="3" t="s">
        <v>15</v>
      </c>
    </row>
    <row r="20" spans="1:1" x14ac:dyDescent="0.2">
      <c r="A20" s="3" t="s">
        <v>16</v>
      </c>
    </row>
    <row r="21" spans="1:1" x14ac:dyDescent="0.2">
      <c r="A21" s="3" t="s">
        <v>17</v>
      </c>
    </row>
    <row r="22" spans="1:1" x14ac:dyDescent="0.2">
      <c r="A22" s="3" t="s">
        <v>18</v>
      </c>
    </row>
    <row r="23" spans="1:1" x14ac:dyDescent="0.2">
      <c r="A23" s="3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4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6" customWidth="1"/>
    <col min="2" max="2" width="9" customWidth="1"/>
    <col min="3" max="12" width="11" customWidth="1"/>
    <col min="13" max="13" width="70" customWidth="1"/>
  </cols>
  <sheetData>
    <row r="1" spans="1:13" ht="16" x14ac:dyDescent="0.2">
      <c r="A1" s="1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">
      <c r="A3" s="5" t="s">
        <v>21</v>
      </c>
      <c r="B3" s="5" t="s">
        <v>22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</row>
    <row r="4" spans="1:13" x14ac:dyDescent="0.2">
      <c r="A4" s="7" t="s">
        <v>34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2">
      <c r="A5" s="3" t="s">
        <v>35</v>
      </c>
      <c r="B5" s="9" t="s">
        <v>36</v>
      </c>
      <c r="C5" s="10">
        <v>284999</v>
      </c>
      <c r="D5" s="10">
        <v>122804</v>
      </c>
      <c r="E5" s="10">
        <v>178684</v>
      </c>
      <c r="F5" s="10">
        <v>247858</v>
      </c>
      <c r="G5" s="10">
        <v>291333</v>
      </c>
      <c r="H5" s="10">
        <v>311185</v>
      </c>
      <c r="I5" s="10">
        <v>330284</v>
      </c>
      <c r="J5" s="10">
        <v>159503</v>
      </c>
      <c r="K5" s="10">
        <v>164977</v>
      </c>
      <c r="L5" s="11">
        <f>I5+K5-J5</f>
        <v>335758</v>
      </c>
      <c r="M5" s="9" t="s">
        <v>37</v>
      </c>
    </row>
    <row r="6" spans="1:13" x14ac:dyDescent="0.2">
      <c r="A6" s="3" t="s">
        <v>38</v>
      </c>
      <c r="B6" s="9" t="s">
        <v>36</v>
      </c>
      <c r="C6" s="10">
        <v>239360</v>
      </c>
      <c r="D6" s="10">
        <v>73883</v>
      </c>
      <c r="E6" s="10">
        <v>128979</v>
      </c>
      <c r="F6" s="10">
        <v>206791</v>
      </c>
      <c r="G6" s="10">
        <v>244435</v>
      </c>
      <c r="H6" s="10">
        <v>258503</v>
      </c>
      <c r="I6" s="10">
        <v>271619</v>
      </c>
      <c r="J6" s="10">
        <v>129604</v>
      </c>
      <c r="K6" s="10">
        <v>136150</v>
      </c>
      <c r="L6" s="11">
        <f>I6+K6-J6</f>
        <v>278165</v>
      </c>
      <c r="M6" s="9" t="s">
        <v>37</v>
      </c>
    </row>
    <row r="7" spans="1:13" x14ac:dyDescent="0.2">
      <c r="A7" s="3" t="s">
        <v>39</v>
      </c>
      <c r="B7" s="9" t="s">
        <v>40</v>
      </c>
      <c r="C7" s="10">
        <v>162443</v>
      </c>
      <c r="D7" s="10">
        <v>57761</v>
      </c>
      <c r="E7" s="10">
        <v>104082</v>
      </c>
      <c r="F7" s="10">
        <v>144300</v>
      </c>
      <c r="G7" s="10">
        <v>164927</v>
      </c>
      <c r="H7" s="10">
        <v>173603</v>
      </c>
      <c r="I7" s="10">
        <v>181053</v>
      </c>
      <c r="J7" s="10">
        <v>86992</v>
      </c>
      <c r="K7" s="10">
        <v>91178</v>
      </c>
      <c r="L7" s="11">
        <f>I7+K7-J7</f>
        <v>185239</v>
      </c>
      <c r="M7" s="9" t="s">
        <v>37</v>
      </c>
    </row>
    <row r="8" spans="1:13" x14ac:dyDescent="0.2">
      <c r="A8" s="3" t="s">
        <v>41</v>
      </c>
      <c r="B8" s="9" t="s">
        <v>42</v>
      </c>
      <c r="C8" s="12">
        <v>10.210000000000001</v>
      </c>
      <c r="D8" s="12">
        <v>17.13</v>
      </c>
      <c r="E8" s="12">
        <v>12.96</v>
      </c>
      <c r="F8" s="12">
        <v>11.73</v>
      </c>
      <c r="G8" s="12">
        <v>12.03</v>
      </c>
      <c r="H8" s="12">
        <v>12.58</v>
      </c>
      <c r="I8" s="12">
        <v>12.64</v>
      </c>
      <c r="J8" s="12">
        <v>12.74</v>
      </c>
      <c r="K8" s="12">
        <v>13.51</v>
      </c>
      <c r="L8" s="2"/>
      <c r="M8" s="9" t="s">
        <v>43</v>
      </c>
    </row>
    <row r="9" spans="1:13" x14ac:dyDescent="0.2">
      <c r="A9" s="3" t="s">
        <v>44</v>
      </c>
      <c r="B9" s="9" t="s">
        <v>45</v>
      </c>
      <c r="C9" s="12">
        <v>2.09</v>
      </c>
      <c r="D9" s="12">
        <v>1.57</v>
      </c>
      <c r="E9" s="12">
        <v>2.11</v>
      </c>
      <c r="F9" s="12">
        <v>3.63</v>
      </c>
      <c r="G9" s="12">
        <v>3.01</v>
      </c>
      <c r="H9" s="12">
        <v>2.65</v>
      </c>
      <c r="I9" s="12">
        <v>2.44</v>
      </c>
      <c r="J9" s="12">
        <v>2.4300000000000002</v>
      </c>
      <c r="K9" s="12">
        <v>3.53</v>
      </c>
      <c r="L9" s="2"/>
      <c r="M9" s="9" t="s">
        <v>37</v>
      </c>
    </row>
    <row r="10" spans="1:13" x14ac:dyDescent="0.2">
      <c r="A10" s="3" t="s">
        <v>46</v>
      </c>
      <c r="B10" s="9" t="s">
        <v>47</v>
      </c>
      <c r="C10" s="10">
        <v>4292</v>
      </c>
      <c r="D10" s="10">
        <v>2004</v>
      </c>
      <c r="E10" s="10">
        <v>2729</v>
      </c>
      <c r="F10" s="10">
        <v>3608</v>
      </c>
      <c r="G10" s="10">
        <v>4205</v>
      </c>
      <c r="H10" s="10">
        <v>4444</v>
      </c>
      <c r="I10" s="10">
        <v>4663</v>
      </c>
      <c r="J10" s="10">
        <v>2254</v>
      </c>
      <c r="K10" s="10">
        <v>2312</v>
      </c>
      <c r="L10" s="11">
        <f>I10+K10-J10</f>
        <v>4721</v>
      </c>
      <c r="M10" s="9" t="s">
        <v>37</v>
      </c>
    </row>
    <row r="11" spans="1:13" x14ac:dyDescent="0.2">
      <c r="A11" s="3" t="s">
        <v>48</v>
      </c>
      <c r="B11" s="9" t="s">
        <v>49</v>
      </c>
      <c r="C11" s="10">
        <v>1372</v>
      </c>
      <c r="D11" s="10">
        <v>1287</v>
      </c>
      <c r="E11" s="10">
        <v>1344</v>
      </c>
      <c r="F11" s="10">
        <v>1338</v>
      </c>
      <c r="G11" s="10">
        <v>1358</v>
      </c>
      <c r="H11" s="10">
        <v>1406</v>
      </c>
      <c r="I11" s="10">
        <v>1490</v>
      </c>
      <c r="J11" s="10">
        <v>1473</v>
      </c>
      <c r="K11" s="10">
        <v>1552</v>
      </c>
      <c r="L11" s="11">
        <f>K11</f>
        <v>1552</v>
      </c>
      <c r="M11" s="9" t="s">
        <v>37</v>
      </c>
    </row>
    <row r="12" spans="1:13" x14ac:dyDescent="0.2">
      <c r="A12" s="3" t="s">
        <v>50</v>
      </c>
      <c r="B12" s="9" t="s">
        <v>40</v>
      </c>
      <c r="C12" s="13">
        <v>95.9</v>
      </c>
      <c r="D12" s="13">
        <v>74.400000000000006</v>
      </c>
      <c r="E12" s="13">
        <v>84.1</v>
      </c>
      <c r="F12" s="13">
        <v>92.8</v>
      </c>
      <c r="G12" s="13">
        <v>103.3</v>
      </c>
      <c r="H12" s="13">
        <v>107.3</v>
      </c>
      <c r="I12" s="13">
        <v>113.2</v>
      </c>
      <c r="J12" s="13">
        <v>111.3</v>
      </c>
      <c r="K12" s="13">
        <v>117.5</v>
      </c>
      <c r="L12" s="14">
        <f>K12</f>
        <v>117.5</v>
      </c>
      <c r="M12" s="9" t="s">
        <v>37</v>
      </c>
    </row>
    <row r="13" spans="1:13" x14ac:dyDescent="0.2">
      <c r="A13" s="3" t="s">
        <v>51</v>
      </c>
      <c r="B13" s="9" t="s">
        <v>52</v>
      </c>
      <c r="C13" s="10">
        <v>1460</v>
      </c>
      <c r="D13" s="10">
        <v>1307</v>
      </c>
      <c r="E13" s="10">
        <v>1315</v>
      </c>
      <c r="F13" s="10">
        <v>1437</v>
      </c>
      <c r="G13" s="10">
        <v>1479</v>
      </c>
      <c r="H13" s="10">
        <v>1490</v>
      </c>
      <c r="I13" s="10">
        <v>1488</v>
      </c>
      <c r="J13" s="10">
        <v>1482</v>
      </c>
      <c r="K13" s="10">
        <v>1462</v>
      </c>
      <c r="L13" s="2"/>
      <c r="M13" s="9" t="s">
        <v>37</v>
      </c>
    </row>
    <row r="14" spans="1:13" x14ac:dyDescent="0.2">
      <c r="A14" s="3" t="s">
        <v>53</v>
      </c>
      <c r="B14" s="9" t="s">
        <v>36</v>
      </c>
      <c r="C14" s="10">
        <v>3329</v>
      </c>
      <c r="D14" s="10">
        <v>2711</v>
      </c>
      <c r="E14" s="10">
        <v>3285</v>
      </c>
      <c r="F14" s="10">
        <v>3041</v>
      </c>
      <c r="G14" s="10">
        <v>3159</v>
      </c>
      <c r="H14" s="10">
        <v>3604</v>
      </c>
      <c r="I14" s="10">
        <v>3626</v>
      </c>
      <c r="J14" s="10">
        <v>1774</v>
      </c>
      <c r="K14" s="10">
        <v>1810</v>
      </c>
      <c r="L14" s="11">
        <f>I14+K14-J14</f>
        <v>3662</v>
      </c>
      <c r="M14" s="9" t="s">
        <v>37</v>
      </c>
    </row>
    <row r="15" spans="1:13" x14ac:dyDescent="0.2">
      <c r="A15" s="7" t="s">
        <v>54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 x14ac:dyDescent="0.2">
      <c r="A16" s="3" t="s">
        <v>55</v>
      </c>
      <c r="B16" s="9" t="s">
        <v>56</v>
      </c>
      <c r="C16" s="10">
        <v>39625</v>
      </c>
      <c r="D16" s="10">
        <v>11805</v>
      </c>
      <c r="E16" s="10">
        <v>20197</v>
      </c>
      <c r="F16" s="10">
        <v>40032</v>
      </c>
      <c r="G16" s="10">
        <v>49046</v>
      </c>
      <c r="H16" s="10">
        <v>51829</v>
      </c>
      <c r="I16" s="10">
        <v>53438</v>
      </c>
      <c r="J16" s="10">
        <v>25696</v>
      </c>
      <c r="K16" s="10">
        <v>29267</v>
      </c>
      <c r="L16" s="11">
        <f>I16+K16-J16</f>
        <v>57009</v>
      </c>
      <c r="M16" s="9" t="s">
        <v>37</v>
      </c>
    </row>
    <row r="17" spans="1:13" x14ac:dyDescent="0.2">
      <c r="A17" s="3" t="s">
        <v>57</v>
      </c>
      <c r="B17" s="9" t="s">
        <v>56</v>
      </c>
      <c r="C17" s="10">
        <v>1179</v>
      </c>
      <c r="D17" s="10">
        <v>1648</v>
      </c>
      <c r="E17" s="10">
        <v>2349</v>
      </c>
      <c r="F17" s="10">
        <v>2171</v>
      </c>
      <c r="G17" s="10">
        <v>1495</v>
      </c>
      <c r="H17" s="10">
        <v>1743</v>
      </c>
      <c r="I17" s="10">
        <v>1779</v>
      </c>
      <c r="J17" s="10">
        <v>859</v>
      </c>
      <c r="K17" s="10">
        <v>949</v>
      </c>
      <c r="L17" s="11">
        <f>I17+K17-J17</f>
        <v>1869</v>
      </c>
      <c r="M17" s="9" t="s">
        <v>58</v>
      </c>
    </row>
    <row r="18" spans="1:13" x14ac:dyDescent="0.2">
      <c r="A18" s="3" t="s">
        <v>59</v>
      </c>
      <c r="B18" s="9" t="s">
        <v>56</v>
      </c>
      <c r="C18" s="10">
        <v>2455</v>
      </c>
      <c r="D18" s="10">
        <v>1902</v>
      </c>
      <c r="E18" s="10">
        <v>2088</v>
      </c>
      <c r="F18" s="10">
        <v>2752</v>
      </c>
      <c r="G18" s="10">
        <v>3176</v>
      </c>
      <c r="H18" s="10">
        <v>3491</v>
      </c>
      <c r="I18" s="10">
        <v>3853</v>
      </c>
      <c r="J18" s="10">
        <v>1893</v>
      </c>
      <c r="K18" s="10">
        <v>2064</v>
      </c>
      <c r="L18" s="11">
        <f>I18+K18-J18</f>
        <v>4024</v>
      </c>
      <c r="M18" s="9" t="s">
        <v>37</v>
      </c>
    </row>
    <row r="19" spans="1:13" x14ac:dyDescent="0.2">
      <c r="A19" s="4" t="s">
        <v>60</v>
      </c>
      <c r="B19" s="9" t="s">
        <v>56</v>
      </c>
      <c r="C19" s="15">
        <f t="shared" ref="C19:L19" si="0">SUM(C16:C18)</f>
        <v>43259</v>
      </c>
      <c r="D19" s="15">
        <f t="shared" si="0"/>
        <v>15355</v>
      </c>
      <c r="E19" s="15">
        <f t="shared" si="0"/>
        <v>24634</v>
      </c>
      <c r="F19" s="15">
        <f t="shared" si="0"/>
        <v>44955</v>
      </c>
      <c r="G19" s="15">
        <f t="shared" si="0"/>
        <v>53717</v>
      </c>
      <c r="H19" s="15">
        <f t="shared" si="0"/>
        <v>57063</v>
      </c>
      <c r="I19" s="15">
        <f t="shared" si="0"/>
        <v>59070</v>
      </c>
      <c r="J19" s="15">
        <f t="shared" si="0"/>
        <v>28448</v>
      </c>
      <c r="K19" s="15">
        <f t="shared" si="0"/>
        <v>32280</v>
      </c>
      <c r="L19" s="15">
        <f t="shared" si="0"/>
        <v>62902</v>
      </c>
      <c r="M19" s="9" t="s">
        <v>61</v>
      </c>
    </row>
    <row r="20" spans="1:13" x14ac:dyDescent="0.2">
      <c r="A20" s="3" t="s">
        <v>62</v>
      </c>
      <c r="B20" s="9" t="s">
        <v>56</v>
      </c>
      <c r="C20" s="10">
        <v>43259</v>
      </c>
      <c r="D20" s="10">
        <v>15355</v>
      </c>
      <c r="E20" s="10">
        <v>24634</v>
      </c>
      <c r="F20" s="10">
        <v>44955</v>
      </c>
      <c r="G20" s="10">
        <v>53717</v>
      </c>
      <c r="H20" s="10">
        <v>57063</v>
      </c>
      <c r="I20" s="10">
        <v>59070</v>
      </c>
      <c r="J20" s="10">
        <v>28448</v>
      </c>
      <c r="K20" s="10">
        <v>32280</v>
      </c>
      <c r="L20" s="11">
        <f>I20+K20-J20</f>
        <v>62902</v>
      </c>
      <c r="M20" s="9" t="s">
        <v>63</v>
      </c>
    </row>
    <row r="21" spans="1:13" x14ac:dyDescent="0.2">
      <c r="A21" s="3" t="s">
        <v>64</v>
      </c>
      <c r="B21" s="9" t="s">
        <v>56</v>
      </c>
      <c r="C21" s="2"/>
      <c r="D21" s="2"/>
      <c r="E21" s="2"/>
      <c r="F21" s="2"/>
      <c r="G21" s="10">
        <v>2700</v>
      </c>
      <c r="H21" s="10">
        <v>2900</v>
      </c>
      <c r="I21" s="10">
        <v>3200</v>
      </c>
      <c r="J21" s="10">
        <v>1600</v>
      </c>
      <c r="K21" s="10">
        <v>1800</v>
      </c>
      <c r="L21" s="11">
        <f>I21+K21-J21</f>
        <v>3400</v>
      </c>
      <c r="M21" s="9" t="s">
        <v>65</v>
      </c>
    </row>
    <row r="22" spans="1:13" x14ac:dyDescent="0.2">
      <c r="A22" s="3" t="s">
        <v>66</v>
      </c>
      <c r="B22" s="9" t="s">
        <v>56</v>
      </c>
      <c r="C22" s="2"/>
      <c r="D22" s="2"/>
      <c r="E22" s="2"/>
      <c r="F22" s="2"/>
      <c r="G22" s="2"/>
      <c r="H22" s="10">
        <v>3563</v>
      </c>
      <c r="I22" s="10">
        <v>3883</v>
      </c>
      <c r="J22" s="2"/>
      <c r="K22" s="2"/>
      <c r="L22" s="2"/>
      <c r="M22" s="9" t="s">
        <v>67</v>
      </c>
    </row>
    <row r="23" spans="1:13" x14ac:dyDescent="0.2">
      <c r="A23" s="3" t="s">
        <v>68</v>
      </c>
      <c r="B23" s="9" t="s">
        <v>56</v>
      </c>
      <c r="C23" s="2"/>
      <c r="D23" s="2"/>
      <c r="E23" s="2"/>
      <c r="F23" s="2"/>
      <c r="G23" s="2"/>
      <c r="H23" s="10">
        <v>3150</v>
      </c>
      <c r="I23" s="10">
        <v>3414</v>
      </c>
      <c r="J23" s="2"/>
      <c r="K23" s="2"/>
      <c r="L23" s="2"/>
      <c r="M23" s="9" t="s">
        <v>67</v>
      </c>
    </row>
    <row r="24" spans="1:13" x14ac:dyDescent="0.2">
      <c r="A24" s="3" t="s">
        <v>69</v>
      </c>
      <c r="B24" s="9" t="s">
        <v>56</v>
      </c>
      <c r="C24" s="10">
        <v>8953</v>
      </c>
      <c r="D24" s="10">
        <v>3153</v>
      </c>
      <c r="E24" s="10">
        <v>5755</v>
      </c>
      <c r="F24" s="10">
        <v>13113</v>
      </c>
      <c r="G24" s="10">
        <v>12651</v>
      </c>
      <c r="H24" s="10">
        <v>11756</v>
      </c>
      <c r="I24" s="10">
        <v>11396</v>
      </c>
      <c r="J24" s="10">
        <v>5476</v>
      </c>
      <c r="K24" s="10">
        <v>8150</v>
      </c>
      <c r="L24" s="11">
        <f t="shared" ref="L24:L37" si="1">I24+K24-J24</f>
        <v>14070</v>
      </c>
      <c r="M24" s="9" t="s">
        <v>37</v>
      </c>
    </row>
    <row r="25" spans="1:13" x14ac:dyDescent="0.2">
      <c r="A25" s="3" t="s">
        <v>70</v>
      </c>
      <c r="B25" s="9" t="s">
        <v>56</v>
      </c>
      <c r="C25" s="10">
        <v>12071</v>
      </c>
      <c r="D25" s="10">
        <v>9522</v>
      </c>
      <c r="E25" s="10">
        <v>9566</v>
      </c>
      <c r="F25" s="10">
        <v>11466</v>
      </c>
      <c r="G25" s="10">
        <v>14787</v>
      </c>
      <c r="H25" s="10">
        <v>16678</v>
      </c>
      <c r="I25" s="10">
        <v>17647</v>
      </c>
      <c r="J25" s="10">
        <v>8568</v>
      </c>
      <c r="K25" s="10">
        <v>9248</v>
      </c>
      <c r="L25" s="11">
        <f t="shared" si="1"/>
        <v>18327</v>
      </c>
      <c r="M25" s="9" t="s">
        <v>37</v>
      </c>
    </row>
    <row r="26" spans="1:13" x14ac:dyDescent="0.2">
      <c r="A26" s="3" t="s">
        <v>71</v>
      </c>
      <c r="B26" s="9" t="s">
        <v>56</v>
      </c>
      <c r="C26" s="10">
        <v>2288</v>
      </c>
      <c r="D26" s="10">
        <v>2488</v>
      </c>
      <c r="E26" s="10">
        <v>2485</v>
      </c>
      <c r="F26" s="10">
        <v>2456</v>
      </c>
      <c r="G26" s="10">
        <v>2671</v>
      </c>
      <c r="H26" s="10">
        <v>2928</v>
      </c>
      <c r="I26" s="10">
        <v>2939</v>
      </c>
      <c r="J26" s="10">
        <v>1461</v>
      </c>
      <c r="K26" s="10">
        <v>1518</v>
      </c>
      <c r="L26" s="11">
        <f t="shared" si="1"/>
        <v>2996</v>
      </c>
      <c r="M26" s="9" t="s">
        <v>72</v>
      </c>
    </row>
    <row r="27" spans="1:13" x14ac:dyDescent="0.2">
      <c r="A27" s="3" t="s">
        <v>73</v>
      </c>
      <c r="B27" s="9" t="s">
        <v>56</v>
      </c>
      <c r="C27" s="10">
        <v>288</v>
      </c>
      <c r="D27" s="10">
        <v>198</v>
      </c>
      <c r="E27" s="10">
        <v>228</v>
      </c>
      <c r="F27" s="10">
        <v>252</v>
      </c>
      <c r="G27" s="10">
        <v>197</v>
      </c>
      <c r="H27" s="10">
        <v>193</v>
      </c>
      <c r="I27" s="10">
        <v>252</v>
      </c>
      <c r="J27" s="10">
        <v>118</v>
      </c>
      <c r="K27" s="10">
        <v>195</v>
      </c>
      <c r="L27" s="11">
        <f t="shared" si="1"/>
        <v>329</v>
      </c>
      <c r="M27" s="9" t="s">
        <v>74</v>
      </c>
    </row>
    <row r="28" spans="1:13" x14ac:dyDescent="0.2">
      <c r="A28" s="3" t="s">
        <v>75</v>
      </c>
      <c r="B28" s="9" t="s">
        <v>56</v>
      </c>
      <c r="C28" s="10">
        <v>246</v>
      </c>
      <c r="D28" s="10">
        <v>-2616</v>
      </c>
      <c r="E28" s="10">
        <v>-3367</v>
      </c>
      <c r="F28" s="10">
        <v>140</v>
      </c>
      <c r="G28" s="10">
        <v>949</v>
      </c>
      <c r="H28" s="10">
        <v>112</v>
      </c>
      <c r="I28" s="10">
        <v>259</v>
      </c>
      <c r="J28" s="10">
        <v>340</v>
      </c>
      <c r="K28" s="10">
        <v>-534</v>
      </c>
      <c r="L28" s="11">
        <f t="shared" si="1"/>
        <v>-615</v>
      </c>
      <c r="M28" s="9" t="s">
        <v>76</v>
      </c>
    </row>
    <row r="29" spans="1:13" x14ac:dyDescent="0.2">
      <c r="A29" s="3" t="s">
        <v>77</v>
      </c>
      <c r="B29" s="9" t="s">
        <v>56</v>
      </c>
      <c r="C29" s="10">
        <v>485</v>
      </c>
      <c r="D29" s="10">
        <v>0</v>
      </c>
      <c r="E29" s="10">
        <v>0</v>
      </c>
      <c r="F29" s="10">
        <v>133</v>
      </c>
      <c r="G29" s="10">
        <v>681</v>
      </c>
      <c r="H29" s="10">
        <v>713</v>
      </c>
      <c r="I29" s="10">
        <v>704</v>
      </c>
      <c r="J29" s="10">
        <v>231</v>
      </c>
      <c r="K29" s="10">
        <v>150</v>
      </c>
      <c r="L29" s="11">
        <f t="shared" si="1"/>
        <v>623</v>
      </c>
      <c r="M29" s="9" t="s">
        <v>78</v>
      </c>
    </row>
    <row r="30" spans="1:13" x14ac:dyDescent="0.2">
      <c r="A30" s="3" t="s">
        <v>79</v>
      </c>
      <c r="B30" s="9" t="s">
        <v>56</v>
      </c>
      <c r="C30" s="10">
        <v>4301</v>
      </c>
      <c r="D30" s="10">
        <v>-6359</v>
      </c>
      <c r="E30" s="10">
        <v>-1022</v>
      </c>
      <c r="F30" s="10">
        <v>2337</v>
      </c>
      <c r="G30" s="10">
        <v>4211</v>
      </c>
      <c r="H30" s="10">
        <v>5096</v>
      </c>
      <c r="I30" s="10">
        <v>4713</v>
      </c>
      <c r="J30" s="10">
        <v>1932</v>
      </c>
      <c r="K30" s="10">
        <v>2093</v>
      </c>
      <c r="L30" s="11">
        <f t="shared" si="1"/>
        <v>4874</v>
      </c>
      <c r="M30" s="9" t="s">
        <v>80</v>
      </c>
    </row>
    <row r="31" spans="1:13" x14ac:dyDescent="0.2">
      <c r="A31" s="3" t="s">
        <v>81</v>
      </c>
      <c r="B31" s="9" t="s">
        <v>56</v>
      </c>
      <c r="C31" s="10">
        <v>4547</v>
      </c>
      <c r="D31" s="10">
        <v>-8975</v>
      </c>
      <c r="E31" s="10">
        <v>-4389</v>
      </c>
      <c r="F31" s="10">
        <v>2477</v>
      </c>
      <c r="G31" s="10">
        <v>5160</v>
      </c>
      <c r="H31" s="10">
        <v>5208</v>
      </c>
      <c r="I31" s="10">
        <v>4972</v>
      </c>
      <c r="J31" s="10">
        <v>2272</v>
      </c>
      <c r="K31" s="10">
        <v>1559</v>
      </c>
      <c r="L31" s="11">
        <f t="shared" si="1"/>
        <v>4259</v>
      </c>
      <c r="M31" s="9" t="s">
        <v>37</v>
      </c>
    </row>
    <row r="32" spans="1:13" x14ac:dyDescent="0.2">
      <c r="A32" s="3" t="s">
        <v>82</v>
      </c>
      <c r="B32" s="9" t="s">
        <v>56</v>
      </c>
      <c r="C32" s="10">
        <v>731</v>
      </c>
      <c r="D32" s="10">
        <v>1063</v>
      </c>
      <c r="E32" s="10">
        <v>1657</v>
      </c>
      <c r="F32" s="10">
        <v>1778</v>
      </c>
      <c r="G32" s="10">
        <v>1956</v>
      </c>
      <c r="H32" s="10">
        <v>1629</v>
      </c>
      <c r="I32" s="10">
        <v>1373</v>
      </c>
      <c r="J32" s="10">
        <v>717</v>
      </c>
      <c r="K32" s="10">
        <v>670</v>
      </c>
      <c r="L32" s="11">
        <f t="shared" si="1"/>
        <v>1326</v>
      </c>
      <c r="M32" s="9" t="s">
        <v>37</v>
      </c>
    </row>
    <row r="33" spans="1:13" x14ac:dyDescent="0.2">
      <c r="A33" s="3" t="s">
        <v>83</v>
      </c>
      <c r="B33" s="9" t="s">
        <v>56</v>
      </c>
      <c r="C33" s="10">
        <v>513</v>
      </c>
      <c r="D33" s="10">
        <v>942</v>
      </c>
      <c r="E33" s="10">
        <v>1541</v>
      </c>
      <c r="F33" s="10">
        <v>1375</v>
      </c>
      <c r="G33" s="10">
        <v>947</v>
      </c>
      <c r="H33" s="10">
        <v>676</v>
      </c>
      <c r="I33" s="10">
        <v>556</v>
      </c>
      <c r="J33" s="10">
        <v>288</v>
      </c>
      <c r="K33" s="10">
        <v>273</v>
      </c>
      <c r="L33" s="11">
        <f t="shared" si="1"/>
        <v>541</v>
      </c>
      <c r="M33" s="9" t="s">
        <v>84</v>
      </c>
    </row>
    <row r="34" spans="1:13" x14ac:dyDescent="0.2">
      <c r="A34" s="3" t="s">
        <v>85</v>
      </c>
      <c r="B34" s="9" t="s">
        <v>56</v>
      </c>
      <c r="C34" s="10">
        <v>905</v>
      </c>
      <c r="D34" s="10">
        <v>-1753</v>
      </c>
      <c r="E34" s="10">
        <v>-593</v>
      </c>
      <c r="F34" s="10">
        <v>253</v>
      </c>
      <c r="G34" s="10">
        <v>769</v>
      </c>
      <c r="H34" s="10">
        <v>1019</v>
      </c>
      <c r="I34" s="10">
        <v>953</v>
      </c>
      <c r="J34" s="10">
        <v>366</v>
      </c>
      <c r="K34" s="10">
        <v>393</v>
      </c>
      <c r="L34" s="11">
        <f t="shared" si="1"/>
        <v>980</v>
      </c>
      <c r="M34" s="9" t="s">
        <v>86</v>
      </c>
    </row>
    <row r="35" spans="1:13" x14ac:dyDescent="0.2">
      <c r="A35" s="3" t="s">
        <v>87</v>
      </c>
      <c r="B35" s="9" t="s">
        <v>56</v>
      </c>
      <c r="C35" s="10">
        <v>3009</v>
      </c>
      <c r="D35" s="10">
        <v>-7069</v>
      </c>
      <c r="E35" s="10">
        <v>-1964</v>
      </c>
      <c r="F35" s="10">
        <v>737</v>
      </c>
      <c r="G35" s="10">
        <v>2618</v>
      </c>
      <c r="H35" s="10">
        <v>3149</v>
      </c>
      <c r="I35" s="10">
        <v>3353</v>
      </c>
      <c r="J35" s="10">
        <v>1361</v>
      </c>
      <c r="K35" s="10">
        <v>1504</v>
      </c>
      <c r="L35" s="11">
        <f t="shared" si="1"/>
        <v>3496</v>
      </c>
      <c r="M35" s="9" t="s">
        <v>88</v>
      </c>
    </row>
    <row r="36" spans="1:13" x14ac:dyDescent="0.2">
      <c r="A36" s="3" t="s">
        <v>89</v>
      </c>
      <c r="B36" s="9" t="s">
        <v>56</v>
      </c>
      <c r="C36" s="10">
        <v>4071</v>
      </c>
      <c r="D36" s="10">
        <v>-9860</v>
      </c>
      <c r="E36" s="10">
        <v>-5809</v>
      </c>
      <c r="F36" s="10">
        <v>1117</v>
      </c>
      <c r="G36" s="10">
        <v>4320</v>
      </c>
      <c r="H36" s="10">
        <v>4607</v>
      </c>
      <c r="I36" s="10">
        <v>4580</v>
      </c>
      <c r="J36" s="10">
        <v>2061</v>
      </c>
      <c r="K36" s="10">
        <v>1342</v>
      </c>
      <c r="L36" s="11">
        <f t="shared" si="1"/>
        <v>3861</v>
      </c>
      <c r="M36" s="9" t="s">
        <v>37</v>
      </c>
    </row>
    <row r="37" spans="1:13" x14ac:dyDescent="0.2">
      <c r="A37" s="3" t="s">
        <v>90</v>
      </c>
      <c r="B37" s="9" t="s">
        <v>91</v>
      </c>
      <c r="C37" s="12">
        <v>12.05</v>
      </c>
      <c r="D37" s="12">
        <v>-27.57</v>
      </c>
      <c r="E37" s="12">
        <v>-13.94</v>
      </c>
      <c r="F37" s="12">
        <v>2.52</v>
      </c>
      <c r="G37" s="12">
        <v>10.050000000000001</v>
      </c>
      <c r="H37" s="12">
        <v>10.61</v>
      </c>
      <c r="I37" s="12">
        <v>10.62</v>
      </c>
      <c r="J37" s="12">
        <v>4.75</v>
      </c>
      <c r="K37" s="12">
        <v>3.18</v>
      </c>
      <c r="L37" s="16">
        <f t="shared" si="1"/>
        <v>9.0499999999999989</v>
      </c>
      <c r="M37" s="9" t="s">
        <v>37</v>
      </c>
    </row>
    <row r="38" spans="1:13" x14ac:dyDescent="0.2">
      <c r="A38" s="3" t="s">
        <v>92</v>
      </c>
      <c r="B38" s="9" t="s">
        <v>36</v>
      </c>
      <c r="C38" s="13">
        <v>259.89999999999998</v>
      </c>
      <c r="D38" s="13">
        <v>279.39999999999998</v>
      </c>
      <c r="E38" s="13">
        <v>321.89999999999998</v>
      </c>
      <c r="F38" s="13">
        <v>330.1</v>
      </c>
      <c r="G38" s="13">
        <v>331.9</v>
      </c>
      <c r="H38" s="13">
        <v>333.2</v>
      </c>
      <c r="I38" s="13">
        <v>328.5</v>
      </c>
      <c r="J38" s="13">
        <v>330.1</v>
      </c>
      <c r="K38" s="13">
        <v>326.7</v>
      </c>
      <c r="L38" s="2"/>
      <c r="M38" s="9" t="s">
        <v>37</v>
      </c>
    </row>
    <row r="39" spans="1:13" x14ac:dyDescent="0.2">
      <c r="A39" s="3" t="s">
        <v>93</v>
      </c>
      <c r="B39" s="9" t="s">
        <v>56</v>
      </c>
      <c r="C39" s="10">
        <v>6808</v>
      </c>
      <c r="D39" s="10">
        <v>-6430</v>
      </c>
      <c r="E39" s="10">
        <v>-1783</v>
      </c>
      <c r="F39" s="10">
        <v>4948</v>
      </c>
      <c r="G39" s="10">
        <v>7938</v>
      </c>
      <c r="H39" s="10">
        <v>8211</v>
      </c>
      <c r="I39" s="10">
        <v>8076</v>
      </c>
      <c r="J39" s="10">
        <v>3809</v>
      </c>
      <c r="K39" s="10">
        <v>3133</v>
      </c>
      <c r="L39" s="11">
        <f>I39+K39-J39</f>
        <v>7400</v>
      </c>
      <c r="M39" s="9" t="s">
        <v>37</v>
      </c>
    </row>
    <row r="40" spans="1:13" x14ac:dyDescent="0.2">
      <c r="A40" s="3" t="s">
        <v>94</v>
      </c>
      <c r="B40" s="9" t="s">
        <v>56</v>
      </c>
      <c r="C40" s="2"/>
      <c r="D40" s="2"/>
      <c r="E40" s="2"/>
      <c r="F40" s="2"/>
      <c r="G40" s="2"/>
      <c r="H40" s="10">
        <v>855</v>
      </c>
      <c r="I40" s="10">
        <v>894</v>
      </c>
      <c r="J40" s="10">
        <v>433</v>
      </c>
      <c r="K40" s="10">
        <v>514</v>
      </c>
      <c r="L40" s="11">
        <f>I40+K40-J40</f>
        <v>975</v>
      </c>
      <c r="M40" s="9" t="s">
        <v>95</v>
      </c>
    </row>
    <row r="41" spans="1:13" x14ac:dyDescent="0.2">
      <c r="A41" s="7" t="s">
        <v>96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  <row r="42" spans="1:13" x14ac:dyDescent="0.2">
      <c r="A42" s="3" t="s">
        <v>97</v>
      </c>
      <c r="B42" s="9" t="s">
        <v>56</v>
      </c>
      <c r="C42" s="10">
        <v>6909</v>
      </c>
      <c r="D42" s="10">
        <v>-4133</v>
      </c>
      <c r="E42" s="10">
        <v>2067</v>
      </c>
      <c r="F42" s="10">
        <v>6066</v>
      </c>
      <c r="G42" s="10">
        <v>6911</v>
      </c>
      <c r="H42" s="10">
        <v>9445</v>
      </c>
      <c r="I42" s="10">
        <v>8431</v>
      </c>
      <c r="J42" s="10">
        <v>5927</v>
      </c>
      <c r="K42" s="10">
        <v>6409</v>
      </c>
      <c r="L42" s="11">
        <f>I42+K42-J42</f>
        <v>8913</v>
      </c>
      <c r="M42" s="9" t="s">
        <v>98</v>
      </c>
    </row>
    <row r="43" spans="1:13" x14ac:dyDescent="0.2">
      <c r="A43" s="3" t="s">
        <v>99</v>
      </c>
      <c r="B43" s="9" t="s">
        <v>56</v>
      </c>
      <c r="C43" s="10">
        <v>4528</v>
      </c>
      <c r="D43" s="10">
        <v>1727</v>
      </c>
      <c r="E43" s="10">
        <v>2107</v>
      </c>
      <c r="F43" s="10">
        <v>4819</v>
      </c>
      <c r="G43" s="10">
        <v>7171</v>
      </c>
      <c r="H43" s="10">
        <v>5615</v>
      </c>
      <c r="I43" s="10">
        <v>5874</v>
      </c>
      <c r="J43" s="10">
        <v>2520</v>
      </c>
      <c r="K43" s="10">
        <v>3015</v>
      </c>
      <c r="L43" s="11">
        <f>I43+K43-J43</f>
        <v>6369</v>
      </c>
      <c r="M43" s="9" t="s">
        <v>100</v>
      </c>
    </row>
    <row r="44" spans="1:13" x14ac:dyDescent="0.2">
      <c r="A44" s="3" t="s">
        <v>101</v>
      </c>
      <c r="B44" s="9" t="s">
        <v>56</v>
      </c>
      <c r="C44" s="2"/>
      <c r="D44" s="10">
        <v>3449</v>
      </c>
      <c r="E44" s="10">
        <v>2907</v>
      </c>
      <c r="F44" s="10">
        <v>4838</v>
      </c>
      <c r="G44" s="10">
        <v>7948</v>
      </c>
      <c r="H44" s="10">
        <v>6263</v>
      </c>
      <c r="I44" s="10">
        <v>6266</v>
      </c>
      <c r="J44" s="10">
        <v>2468</v>
      </c>
      <c r="K44" s="10">
        <v>3167</v>
      </c>
      <c r="L44" s="11">
        <f>I44+K44-J44</f>
        <v>6965</v>
      </c>
      <c r="M44" s="9" t="s">
        <v>102</v>
      </c>
    </row>
    <row r="45" spans="1:13" x14ac:dyDescent="0.2">
      <c r="A45" s="3" t="s">
        <v>103</v>
      </c>
      <c r="B45" s="9" t="s">
        <v>56</v>
      </c>
      <c r="C45" s="2"/>
      <c r="D45" s="10">
        <v>-7753</v>
      </c>
      <c r="E45" s="10">
        <v>-1508</v>
      </c>
      <c r="F45" s="10">
        <v>1224</v>
      </c>
      <c r="G45" s="10">
        <v>-1037</v>
      </c>
      <c r="H45" s="10">
        <v>4270</v>
      </c>
      <c r="I45" s="10">
        <v>2710</v>
      </c>
      <c r="J45" s="10">
        <v>3442</v>
      </c>
      <c r="K45" s="10">
        <v>3225</v>
      </c>
      <c r="L45" s="11">
        <f>I45+K45-J45</f>
        <v>2493</v>
      </c>
      <c r="M45" s="9" t="s">
        <v>104</v>
      </c>
    </row>
    <row r="46" spans="1:13" x14ac:dyDescent="0.2">
      <c r="A46" s="3" t="s">
        <v>105</v>
      </c>
      <c r="B46" s="9" t="s">
        <v>56</v>
      </c>
      <c r="C46" s="10">
        <v>1645</v>
      </c>
      <c r="D46" s="10">
        <v>353</v>
      </c>
      <c r="E46" s="10">
        <v>0</v>
      </c>
      <c r="F46" s="10">
        <v>0</v>
      </c>
      <c r="G46" s="10">
        <v>0</v>
      </c>
      <c r="H46" s="10">
        <v>162</v>
      </c>
      <c r="I46" s="10">
        <v>637</v>
      </c>
      <c r="J46" s="10">
        <v>589</v>
      </c>
      <c r="K46" s="10">
        <v>27</v>
      </c>
      <c r="L46" s="11">
        <f>I46+K46-J46</f>
        <v>75</v>
      </c>
      <c r="M46" s="9" t="s">
        <v>106</v>
      </c>
    </row>
    <row r="47" spans="1:13" x14ac:dyDescent="0.2">
      <c r="A47" s="7" t="s">
        <v>107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</row>
    <row r="48" spans="1:13" x14ac:dyDescent="0.2">
      <c r="A48" s="3" t="s">
        <v>108</v>
      </c>
      <c r="B48" s="9" t="s">
        <v>56</v>
      </c>
      <c r="C48" s="10">
        <v>2762</v>
      </c>
      <c r="D48" s="10">
        <v>11269</v>
      </c>
      <c r="E48" s="10">
        <v>18283</v>
      </c>
      <c r="F48" s="10">
        <v>7166</v>
      </c>
      <c r="G48" s="10">
        <v>6058</v>
      </c>
      <c r="H48" s="10">
        <v>8769</v>
      </c>
      <c r="I48" s="10">
        <v>5942</v>
      </c>
      <c r="J48" s="10">
        <v>9354</v>
      </c>
      <c r="K48" s="10">
        <v>10166</v>
      </c>
      <c r="L48" s="11">
        <f t="shared" ref="L48:L58" si="2">K48</f>
        <v>10166</v>
      </c>
      <c r="M48" s="9" t="s">
        <v>109</v>
      </c>
    </row>
    <row r="49" spans="1:13" x14ac:dyDescent="0.2">
      <c r="A49" s="3" t="s">
        <v>110</v>
      </c>
      <c r="B49" s="9" t="s">
        <v>56</v>
      </c>
      <c r="C49" s="10">
        <v>2182</v>
      </c>
      <c r="D49" s="10">
        <v>414</v>
      </c>
      <c r="E49" s="10">
        <v>123</v>
      </c>
      <c r="F49" s="10">
        <v>9248</v>
      </c>
      <c r="G49" s="10">
        <v>8330</v>
      </c>
      <c r="H49" s="10">
        <v>5706</v>
      </c>
      <c r="I49" s="10">
        <v>6298</v>
      </c>
      <c r="J49" s="10">
        <v>6262</v>
      </c>
      <c r="K49" s="10">
        <v>6471</v>
      </c>
      <c r="L49" s="11">
        <f t="shared" si="2"/>
        <v>6471</v>
      </c>
      <c r="M49" s="9" t="s">
        <v>111</v>
      </c>
    </row>
    <row r="50" spans="1:13" x14ac:dyDescent="0.2">
      <c r="A50" s="3" t="s">
        <v>112</v>
      </c>
      <c r="B50" s="9" t="s">
        <v>56</v>
      </c>
      <c r="C50" s="10">
        <v>14818</v>
      </c>
      <c r="D50" s="10">
        <v>27153</v>
      </c>
      <c r="E50" s="10">
        <v>33658</v>
      </c>
      <c r="F50" s="10">
        <v>32280</v>
      </c>
      <c r="G50" s="10">
        <v>31660</v>
      </c>
      <c r="H50" s="10">
        <v>28656</v>
      </c>
      <c r="I50" s="10">
        <v>24988</v>
      </c>
      <c r="J50" s="10">
        <v>27079</v>
      </c>
      <c r="K50" s="10">
        <v>26464</v>
      </c>
      <c r="L50" s="11">
        <f t="shared" si="2"/>
        <v>26464</v>
      </c>
      <c r="M50" s="9" t="s">
        <v>113</v>
      </c>
    </row>
    <row r="51" spans="1:13" x14ac:dyDescent="0.2">
      <c r="A51" s="3" t="s">
        <v>114</v>
      </c>
      <c r="B51" s="9" t="s">
        <v>56</v>
      </c>
      <c r="C51" s="10">
        <v>5632</v>
      </c>
      <c r="D51" s="10">
        <v>5598</v>
      </c>
      <c r="E51" s="10">
        <v>5708</v>
      </c>
      <c r="F51" s="10">
        <v>5020</v>
      </c>
      <c r="G51" s="10">
        <v>5079</v>
      </c>
      <c r="H51" s="10">
        <v>4977</v>
      </c>
      <c r="I51" s="10">
        <v>6048</v>
      </c>
      <c r="J51" s="10">
        <v>5707</v>
      </c>
      <c r="K51" s="10">
        <v>7204</v>
      </c>
      <c r="L51" s="11">
        <f t="shared" si="2"/>
        <v>7204</v>
      </c>
      <c r="M51" s="9" t="s">
        <v>115</v>
      </c>
    </row>
    <row r="52" spans="1:13" x14ac:dyDescent="0.2">
      <c r="A52" s="3" t="s">
        <v>116</v>
      </c>
      <c r="B52" s="9" t="s">
        <v>56</v>
      </c>
      <c r="C52" s="10">
        <v>1446</v>
      </c>
      <c r="D52" s="10">
        <v>2460</v>
      </c>
      <c r="E52" s="10">
        <v>1920</v>
      </c>
      <c r="F52" s="10">
        <v>1418</v>
      </c>
      <c r="G52" s="10">
        <v>1605</v>
      </c>
      <c r="H52" s="10">
        <v>1233</v>
      </c>
      <c r="I52" s="10">
        <v>1058</v>
      </c>
      <c r="J52" s="10">
        <v>1199</v>
      </c>
      <c r="K52" s="10">
        <v>1074</v>
      </c>
      <c r="L52" s="11">
        <f t="shared" si="2"/>
        <v>1074</v>
      </c>
      <c r="M52" s="9" t="s">
        <v>117</v>
      </c>
    </row>
    <row r="53" spans="1:13" x14ac:dyDescent="0.2">
      <c r="A53" s="3" t="s">
        <v>118</v>
      </c>
      <c r="B53" s="9" t="s">
        <v>56</v>
      </c>
      <c r="C53" s="2"/>
      <c r="D53" s="10">
        <v>4833</v>
      </c>
      <c r="E53" s="10">
        <v>6354</v>
      </c>
      <c r="F53" s="10">
        <v>7555</v>
      </c>
      <c r="G53" s="10">
        <v>6704</v>
      </c>
      <c r="H53" s="10">
        <v>7561</v>
      </c>
      <c r="I53" s="10">
        <v>8131</v>
      </c>
      <c r="J53" s="2"/>
      <c r="K53" s="10">
        <v>10752</v>
      </c>
      <c r="L53" s="11">
        <f t="shared" si="2"/>
        <v>10752</v>
      </c>
      <c r="M53" s="9" t="s">
        <v>119</v>
      </c>
    </row>
    <row r="54" spans="1:13" x14ac:dyDescent="0.2">
      <c r="A54" s="3" t="s">
        <v>120</v>
      </c>
      <c r="B54" s="9" t="s">
        <v>56</v>
      </c>
      <c r="C54" s="2"/>
      <c r="D54" s="10">
        <v>5975</v>
      </c>
      <c r="E54" s="10">
        <v>6282</v>
      </c>
      <c r="F54" s="10">
        <v>6675</v>
      </c>
      <c r="G54" s="10">
        <v>7143</v>
      </c>
      <c r="H54" s="10">
        <v>7441</v>
      </c>
      <c r="I54" s="10">
        <v>7777</v>
      </c>
      <c r="J54" s="2"/>
      <c r="K54" s="10">
        <v>7971</v>
      </c>
      <c r="L54" s="11">
        <f t="shared" si="2"/>
        <v>7971</v>
      </c>
      <c r="M54" s="9" t="s">
        <v>121</v>
      </c>
    </row>
    <row r="55" spans="1:13" x14ac:dyDescent="0.2">
      <c r="A55" s="3" t="s">
        <v>122</v>
      </c>
      <c r="B55" s="9" t="s">
        <v>56</v>
      </c>
      <c r="C55" s="10">
        <v>52611</v>
      </c>
      <c r="D55" s="10">
        <v>59548</v>
      </c>
      <c r="E55" s="10">
        <v>68175</v>
      </c>
      <c r="F55" s="10">
        <v>67358</v>
      </c>
      <c r="G55" s="10">
        <v>71104</v>
      </c>
      <c r="H55" s="10">
        <v>74083</v>
      </c>
      <c r="I55" s="10">
        <v>76448</v>
      </c>
      <c r="J55" s="2"/>
      <c r="K55" s="10">
        <v>84569</v>
      </c>
      <c r="L55" s="11">
        <f t="shared" si="2"/>
        <v>84569</v>
      </c>
      <c r="M55" s="9" t="s">
        <v>123</v>
      </c>
    </row>
    <row r="56" spans="1:13" x14ac:dyDescent="0.2">
      <c r="A56" s="3" t="s">
        <v>124</v>
      </c>
      <c r="B56" s="9" t="s">
        <v>56</v>
      </c>
      <c r="C56" s="2"/>
      <c r="D56" s="2"/>
      <c r="E56" s="2"/>
      <c r="F56" s="2"/>
      <c r="G56" s="2"/>
      <c r="H56" s="2"/>
      <c r="I56" s="10">
        <v>26133</v>
      </c>
      <c r="J56" s="2"/>
      <c r="K56" s="10">
        <v>27764</v>
      </c>
      <c r="L56" s="11">
        <f t="shared" si="2"/>
        <v>27764</v>
      </c>
      <c r="M56" s="9" t="s">
        <v>125</v>
      </c>
    </row>
    <row r="57" spans="1:13" x14ac:dyDescent="0.2">
      <c r="A57" s="3" t="s">
        <v>126</v>
      </c>
      <c r="B57" s="9" t="s">
        <v>56</v>
      </c>
      <c r="C57" s="2"/>
      <c r="D57" s="2"/>
      <c r="E57" s="2"/>
      <c r="F57" s="2"/>
      <c r="G57" s="2"/>
      <c r="H57" s="2"/>
      <c r="I57" s="10">
        <v>35033</v>
      </c>
      <c r="J57" s="2"/>
      <c r="K57" s="10">
        <v>40108</v>
      </c>
      <c r="L57" s="11">
        <f t="shared" si="2"/>
        <v>40108</v>
      </c>
      <c r="M57" s="9" t="s">
        <v>125</v>
      </c>
    </row>
    <row r="58" spans="1:13" x14ac:dyDescent="0.2">
      <c r="A58" s="3" t="s">
        <v>127</v>
      </c>
      <c r="B58" s="9" t="s">
        <v>56</v>
      </c>
      <c r="C58" s="10">
        <v>11531</v>
      </c>
      <c r="D58" s="10">
        <v>5960</v>
      </c>
      <c r="E58" s="10">
        <v>5029</v>
      </c>
      <c r="F58" s="10">
        <v>6896</v>
      </c>
      <c r="G58" s="10">
        <v>9324</v>
      </c>
      <c r="H58" s="10">
        <v>12675</v>
      </c>
      <c r="I58" s="10">
        <v>15282</v>
      </c>
      <c r="J58" s="2"/>
      <c r="K58" s="10">
        <v>16697</v>
      </c>
      <c r="L58" s="11">
        <f t="shared" si="2"/>
        <v>16697</v>
      </c>
      <c r="M58" s="9" t="s">
        <v>128</v>
      </c>
    </row>
    <row r="59" spans="1:13" x14ac:dyDescent="0.2">
      <c r="A59" s="3" t="s">
        <v>129</v>
      </c>
      <c r="B59" s="9" t="s">
        <v>56</v>
      </c>
      <c r="C59" s="2"/>
      <c r="D59" s="2"/>
      <c r="E59" s="2"/>
      <c r="F59" s="2"/>
      <c r="G59" s="2"/>
      <c r="H59" s="2"/>
      <c r="I59" s="11">
        <f>I55-I56-I57-I58</f>
        <v>0</v>
      </c>
      <c r="J59" s="2"/>
      <c r="K59" s="11">
        <f>K55-K56-K57-K58</f>
        <v>0</v>
      </c>
      <c r="L59" s="2"/>
      <c r="M59" s="9" t="s">
        <v>130</v>
      </c>
    </row>
    <row r="60" spans="1:13" x14ac:dyDescent="0.2">
      <c r="A60" s="3" t="s">
        <v>131</v>
      </c>
      <c r="B60" s="9" t="s">
        <v>36</v>
      </c>
      <c r="C60" s="13">
        <v>251.2</v>
      </c>
      <c r="D60" s="13">
        <v>311.8</v>
      </c>
      <c r="E60" s="13">
        <v>323.8</v>
      </c>
      <c r="F60" s="13">
        <v>326.89999999999998</v>
      </c>
      <c r="G60" s="13">
        <v>328</v>
      </c>
      <c r="H60" s="13">
        <v>327.9</v>
      </c>
      <c r="I60" s="13">
        <v>323.5</v>
      </c>
      <c r="J60" s="2"/>
      <c r="K60" s="13">
        <v>324.60000000000002</v>
      </c>
      <c r="L60" s="14">
        <f>K60</f>
        <v>324.60000000000002</v>
      </c>
      <c r="M60" s="9" t="s">
        <v>132</v>
      </c>
    </row>
    <row r="61" spans="1:13" x14ac:dyDescent="0.2">
      <c r="A61" s="3" t="s">
        <v>133</v>
      </c>
      <c r="B61" s="9" t="s">
        <v>91</v>
      </c>
      <c r="C61" s="12">
        <v>88.09</v>
      </c>
      <c r="D61" s="12">
        <v>43.25</v>
      </c>
      <c r="E61" s="12">
        <v>43.78</v>
      </c>
      <c r="F61" s="12">
        <v>37.700000000000003</v>
      </c>
      <c r="G61" s="12">
        <v>41.26</v>
      </c>
      <c r="H61" s="12">
        <v>97.1</v>
      </c>
      <c r="I61" s="12">
        <v>111.82</v>
      </c>
      <c r="J61" s="12">
        <v>79.63</v>
      </c>
      <c r="K61" s="12">
        <v>135.99</v>
      </c>
      <c r="L61" s="2"/>
      <c r="M61" s="9" t="s">
        <v>134</v>
      </c>
    </row>
    <row r="62" spans="1:13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x14ac:dyDescent="0.2">
      <c r="A63" s="9" t="s">
        <v>135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2">
      <c r="A65" s="5" t="s">
        <v>136</v>
      </c>
      <c r="B65" s="5" t="s">
        <v>22</v>
      </c>
      <c r="C65" s="6" t="s">
        <v>137</v>
      </c>
      <c r="D65" s="6" t="s">
        <v>138</v>
      </c>
      <c r="E65" s="6" t="s">
        <v>139</v>
      </c>
      <c r="F65" s="6" t="s">
        <v>140</v>
      </c>
      <c r="G65" s="6" t="s">
        <v>141</v>
      </c>
      <c r="H65" s="6"/>
      <c r="I65" s="6"/>
      <c r="J65" s="6"/>
      <c r="K65" s="6"/>
      <c r="L65" s="6"/>
      <c r="M65" s="6" t="s">
        <v>33</v>
      </c>
    </row>
    <row r="66" spans="1:13" x14ac:dyDescent="0.2">
      <c r="A66" s="3" t="s">
        <v>142</v>
      </c>
      <c r="B66" s="9" t="s">
        <v>36</v>
      </c>
      <c r="C66" s="10">
        <v>84347</v>
      </c>
      <c r="D66" s="10">
        <v>87417</v>
      </c>
      <c r="E66" s="10">
        <v>83365</v>
      </c>
      <c r="F66" s="10">
        <v>77698</v>
      </c>
      <c r="G66" s="10">
        <v>87279</v>
      </c>
      <c r="H66" s="2"/>
      <c r="I66" s="2"/>
      <c r="J66" s="2"/>
      <c r="K66" s="2"/>
      <c r="L66" s="2"/>
      <c r="M66" s="9" t="s">
        <v>143</v>
      </c>
    </row>
    <row r="67" spans="1:13" x14ac:dyDescent="0.2">
      <c r="A67" s="3" t="s">
        <v>144</v>
      </c>
      <c r="B67" s="9" t="s">
        <v>56</v>
      </c>
      <c r="C67" s="10">
        <v>15236</v>
      </c>
      <c r="D67" s="10">
        <v>15225</v>
      </c>
      <c r="E67" s="10">
        <v>15397</v>
      </c>
      <c r="F67" s="10">
        <v>14608</v>
      </c>
      <c r="G67" s="10">
        <v>17672</v>
      </c>
      <c r="H67" s="2"/>
      <c r="I67" s="2"/>
      <c r="J67" s="2"/>
      <c r="K67" s="2"/>
      <c r="L67" s="2"/>
      <c r="M67" s="9" t="s">
        <v>143</v>
      </c>
    </row>
    <row r="68" spans="1:13" x14ac:dyDescent="0.2">
      <c r="A68" s="3" t="s">
        <v>145</v>
      </c>
      <c r="B68" s="9" t="s">
        <v>42</v>
      </c>
      <c r="C68" s="12">
        <v>18.059999999999999</v>
      </c>
      <c r="D68" s="12">
        <v>17.420000000000002</v>
      </c>
      <c r="E68" s="12">
        <v>18.47</v>
      </c>
      <c r="F68" s="12">
        <v>18.8</v>
      </c>
      <c r="G68" s="12">
        <v>20.25</v>
      </c>
      <c r="H68" s="2"/>
      <c r="I68" s="2"/>
      <c r="J68" s="2"/>
      <c r="K68" s="2"/>
      <c r="L68" s="2"/>
      <c r="M68" s="9" t="s">
        <v>143</v>
      </c>
    </row>
    <row r="69" spans="1:13" x14ac:dyDescent="0.2">
      <c r="A69" s="3" t="s">
        <v>146</v>
      </c>
      <c r="B69" s="9" t="s">
        <v>42</v>
      </c>
      <c r="C69" s="12">
        <v>12.36</v>
      </c>
      <c r="D69" s="12">
        <v>12.15</v>
      </c>
      <c r="E69" s="12">
        <v>12.94</v>
      </c>
      <c r="F69" s="12">
        <v>13.95</v>
      </c>
      <c r="G69" s="12">
        <v>13.12</v>
      </c>
      <c r="H69" s="2"/>
      <c r="I69" s="2"/>
      <c r="J69" s="2"/>
      <c r="K69" s="2"/>
      <c r="L69" s="2"/>
      <c r="M69" s="9" t="s">
        <v>143</v>
      </c>
    </row>
    <row r="70" spans="1:13" x14ac:dyDescent="0.2">
      <c r="A70" s="3" t="s">
        <v>147</v>
      </c>
      <c r="B70" s="9" t="s">
        <v>148</v>
      </c>
      <c r="C70" s="12">
        <v>2.34</v>
      </c>
      <c r="D70" s="12">
        <v>2.4300000000000002</v>
      </c>
      <c r="E70" s="12">
        <v>2.4900000000000002</v>
      </c>
      <c r="F70" s="12">
        <v>2.78</v>
      </c>
      <c r="G70" s="12">
        <v>4.1900000000000004</v>
      </c>
      <c r="H70" s="2"/>
      <c r="I70" s="2"/>
      <c r="J70" s="2"/>
      <c r="K70" s="2"/>
      <c r="L70" s="2"/>
      <c r="M70" s="9" t="s">
        <v>143</v>
      </c>
    </row>
    <row r="71" spans="1:13" x14ac:dyDescent="0.2">
      <c r="A71" s="3" t="s">
        <v>149</v>
      </c>
      <c r="B71" s="9" t="s">
        <v>150</v>
      </c>
      <c r="C71" s="17">
        <v>0.11600000000000001</v>
      </c>
      <c r="D71" s="17">
        <v>8.6999999999999994E-2</v>
      </c>
      <c r="E71" s="17">
        <v>0.09</v>
      </c>
      <c r="F71" s="17">
        <v>4.2000000000000003E-2</v>
      </c>
      <c r="G71" s="17">
        <v>5.3999999999999999E-2</v>
      </c>
      <c r="H71" s="2"/>
      <c r="I71" s="2"/>
      <c r="J71" s="2"/>
      <c r="K71" s="2"/>
      <c r="L71" s="2"/>
      <c r="M71" s="9" t="s">
        <v>143</v>
      </c>
    </row>
    <row r="72" spans="1:13" x14ac:dyDescent="0.2">
      <c r="A72" s="3" t="s">
        <v>151</v>
      </c>
      <c r="B72" s="9" t="s">
        <v>150</v>
      </c>
      <c r="C72" s="17">
        <v>0.11</v>
      </c>
      <c r="D72" s="17">
        <v>0.08</v>
      </c>
      <c r="E72" s="17">
        <v>8.5000000000000006E-2</v>
      </c>
      <c r="F72" s="17">
        <v>3.4000000000000002E-2</v>
      </c>
      <c r="G72" s="17">
        <v>4.8000000000000001E-2</v>
      </c>
      <c r="H72" s="2"/>
      <c r="I72" s="2"/>
      <c r="J72" s="2"/>
      <c r="K72" s="2"/>
      <c r="L72" s="2"/>
      <c r="M72" s="9" t="s">
        <v>143</v>
      </c>
    </row>
    <row r="73" spans="1:13" x14ac:dyDescent="0.2">
      <c r="A73" s="3" t="s">
        <v>152</v>
      </c>
      <c r="B73" s="9" t="s">
        <v>91</v>
      </c>
      <c r="C73" s="12">
        <v>3.87</v>
      </c>
      <c r="D73" s="12">
        <v>2.78</v>
      </c>
      <c r="E73" s="12">
        <v>3.1</v>
      </c>
      <c r="F73" s="12">
        <v>1.19</v>
      </c>
      <c r="G73" s="12">
        <v>1.99</v>
      </c>
      <c r="H73" s="2"/>
      <c r="I73" s="2"/>
      <c r="J73" s="2"/>
      <c r="K73" s="2"/>
      <c r="L73" s="2"/>
      <c r="M73" s="9" t="s">
        <v>143</v>
      </c>
    </row>
    <row r="74" spans="1:13" x14ac:dyDescent="0.2">
      <c r="A74" s="3" t="s">
        <v>153</v>
      </c>
      <c r="B74" s="9" t="s">
        <v>148</v>
      </c>
      <c r="C74" s="12">
        <v>2</v>
      </c>
      <c r="D74" s="12">
        <v>2.12</v>
      </c>
      <c r="E74" s="12">
        <v>2.13</v>
      </c>
      <c r="F74" s="12">
        <v>2.66</v>
      </c>
      <c r="G74" s="12">
        <v>3.64</v>
      </c>
      <c r="H74" s="2"/>
      <c r="I74" s="2"/>
      <c r="J74" s="2"/>
      <c r="K74" s="2"/>
      <c r="L74" s="2"/>
      <c r="M74" s="9" t="s">
        <v>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5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6" customWidth="1"/>
    <col min="2" max="2" width="9" customWidth="1"/>
    <col min="3" max="12" width="11" customWidth="1"/>
    <col min="13" max="13" width="70" customWidth="1"/>
  </cols>
  <sheetData>
    <row r="1" spans="1:13" ht="16" x14ac:dyDescent="0.2">
      <c r="A1" s="1" t="s">
        <v>155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">
      <c r="A3" s="5" t="s">
        <v>156</v>
      </c>
      <c r="B3" s="5" t="s">
        <v>22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</row>
    <row r="4" spans="1:13" x14ac:dyDescent="0.2">
      <c r="A4" s="7" t="s">
        <v>157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2">
      <c r="A5" s="3" t="s">
        <v>158</v>
      </c>
      <c r="B5" s="9" t="s">
        <v>150</v>
      </c>
      <c r="C5" s="18">
        <f>Hist!$C$6/Hist!$C$5</f>
        <v>0.83986259600910884</v>
      </c>
      <c r="D5" s="18">
        <f>Hist!$D$6/Hist!$D$5</f>
        <v>0.60163349728021887</v>
      </c>
      <c r="E5" s="18">
        <f>Hist!$E$6/Hist!$E$5</f>
        <v>0.72182736003223569</v>
      </c>
      <c r="F5" s="18">
        <f>Hist!$F$6/Hist!$F$5</f>
        <v>0.83431238854505407</v>
      </c>
      <c r="G5" s="18">
        <f>Hist!$G$6/Hist!$G$5</f>
        <v>0.83902269911063976</v>
      </c>
      <c r="H5" s="18">
        <f>Hist!$H$6/Hist!$H$5</f>
        <v>0.83070520751321564</v>
      </c>
      <c r="I5" s="18">
        <f>Hist!$I$6/Hist!$I$5</f>
        <v>0.82238013346090033</v>
      </c>
      <c r="J5" s="18">
        <f>Hist!$J$6/Hist!$J$5</f>
        <v>0.81254898026996358</v>
      </c>
      <c r="K5" s="18">
        <f>Hist!$K$6/Hist!$K$5</f>
        <v>0.82526655230729129</v>
      </c>
      <c r="L5" s="18">
        <f>Hist!$L$6/Hist!$L$5</f>
        <v>0.82846871854133042</v>
      </c>
      <c r="M5" s="9" t="s">
        <v>130</v>
      </c>
    </row>
    <row r="6" spans="1:13" x14ac:dyDescent="0.2">
      <c r="A6" s="3" t="s">
        <v>159</v>
      </c>
      <c r="B6" s="9" t="s">
        <v>42</v>
      </c>
      <c r="C6" s="16">
        <f>Hist!$C$16/Hist!$C$6*100</f>
        <v>16.554562165775401</v>
      </c>
      <c r="D6" s="16">
        <f>Hist!$D$16/Hist!$D$6*100</f>
        <v>15.977965161133142</v>
      </c>
      <c r="E6" s="16">
        <f>Hist!$E$16/Hist!$E$6*100</f>
        <v>15.659138309337179</v>
      </c>
      <c r="F6" s="16">
        <f>Hist!$F$16/Hist!$F$6*100</f>
        <v>19.358676151283181</v>
      </c>
      <c r="G6" s="16">
        <f>Hist!$G$16/Hist!$G$6*100</f>
        <v>20.065047967762393</v>
      </c>
      <c r="H6" s="16">
        <f>Hist!$H$16/Hist!$H$6*100</f>
        <v>20.049670603435938</v>
      </c>
      <c r="I6" s="16">
        <f>Hist!$I$16/Hist!$I$6*100</f>
        <v>19.673881429502355</v>
      </c>
      <c r="J6" s="16">
        <f>Hist!$J$16/Hist!$J$6*100</f>
        <v>19.826548563315946</v>
      </c>
      <c r="K6" s="16">
        <f>Hist!$K$16/Hist!$K$6*100</f>
        <v>21.496143958868892</v>
      </c>
      <c r="L6" s="16">
        <f>Hist!$L$16/Hist!$L$6*100</f>
        <v>20.494670429421387</v>
      </c>
      <c r="M6" s="9" t="s">
        <v>130</v>
      </c>
    </row>
    <row r="7" spans="1:13" x14ac:dyDescent="0.2">
      <c r="A7" s="3" t="s">
        <v>160</v>
      </c>
      <c r="B7" s="9" t="s">
        <v>42</v>
      </c>
      <c r="C7" s="16">
        <f>Hist!$C$16/Hist!$C$5*100</f>
        <v>13.903557556342303</v>
      </c>
      <c r="D7" s="16">
        <f>Hist!$D$16/Hist!$D$5*100</f>
        <v>9.6128790593140288</v>
      </c>
      <c r="E7" s="16">
        <f>Hist!$E$16/Hist!$E$5*100</f>
        <v>11.303194466208502</v>
      </c>
      <c r="F7" s="16">
        <f>Hist!$F$16/Hist!$F$5*100</f>
        <v>16.151183338847243</v>
      </c>
      <c r="G7" s="16">
        <f>Hist!$G$16/Hist!$G$5*100</f>
        <v>16.835030703696457</v>
      </c>
      <c r="H7" s="16">
        <f>Hist!$H$16/Hist!$H$5*100</f>
        <v>16.655365779198871</v>
      </c>
      <c r="I7" s="16">
        <f>Hist!$I$16/Hist!$I$5*100</f>
        <v>16.179409235688073</v>
      </c>
      <c r="J7" s="16">
        <f>Hist!$J$16/Hist!$J$5*100</f>
        <v>16.110041817395285</v>
      </c>
      <c r="K7" s="16">
        <f>Hist!$K$16/Hist!$K$5*100</f>
        <v>17.740048612836944</v>
      </c>
      <c r="L7" s="16">
        <f>Hist!$L$16/Hist!$L$5*100</f>
        <v>16.979193347589632</v>
      </c>
      <c r="M7" s="9" t="s">
        <v>130</v>
      </c>
    </row>
    <row r="8" spans="1:13" x14ac:dyDescent="0.2">
      <c r="A8" s="3" t="s">
        <v>161</v>
      </c>
      <c r="B8" s="9" t="s">
        <v>42</v>
      </c>
      <c r="C8" s="16">
        <f>Hist!$C$19/Hist!$C$5*100</f>
        <v>15.178649749648244</v>
      </c>
      <c r="D8" s="16">
        <f>Hist!$D$19/Hist!$D$5*100</f>
        <v>12.503664375753232</v>
      </c>
      <c r="E8" s="16">
        <f>Hist!$E$19/Hist!$E$5*100</f>
        <v>13.786349085536479</v>
      </c>
      <c r="F8" s="16">
        <f>Hist!$F$19/Hist!$F$5*100</f>
        <v>18.137401253943793</v>
      </c>
      <c r="G8" s="16">
        <f>Hist!$G$19/Hist!$G$5*100</f>
        <v>18.438350615961806</v>
      </c>
      <c r="H8" s="16">
        <f>Hist!$H$19/Hist!$H$5*100</f>
        <v>18.337323457107509</v>
      </c>
      <c r="I8" s="16">
        <f>Hist!$I$19/Hist!$I$5*100</f>
        <v>17.884608397621442</v>
      </c>
      <c r="J8" s="16">
        <f>Hist!$J$19/Hist!$J$5*100</f>
        <v>17.83540121502417</v>
      </c>
      <c r="K8" s="16">
        <f>Hist!$K$19/Hist!$K$5*100</f>
        <v>19.566363796165525</v>
      </c>
      <c r="L8" s="16">
        <f>Hist!$L$19/Hist!$L$5*100</f>
        <v>18.734326508973727</v>
      </c>
      <c r="M8" s="9" t="s">
        <v>130</v>
      </c>
    </row>
    <row r="9" spans="1:13" x14ac:dyDescent="0.2">
      <c r="A9" s="3" t="s">
        <v>162</v>
      </c>
      <c r="B9" s="9" t="s">
        <v>42</v>
      </c>
      <c r="C9" s="16">
        <f>(Hist!$C$19-Hist!$C$30)/Hist!$C$5*100</f>
        <v>13.669521647444377</v>
      </c>
      <c r="D9" s="16">
        <f>(Hist!$D$19-Hist!$D$30)/Hist!$D$5*100</f>
        <v>17.681834467932642</v>
      </c>
      <c r="E9" s="16">
        <f>(Hist!$E$19-Hist!$E$30)/Hist!$E$5*100</f>
        <v>14.358308522307537</v>
      </c>
      <c r="F9" s="16">
        <f>(Hist!$F$19-Hist!$F$30)/Hist!$F$5*100</f>
        <v>17.194522670238605</v>
      </c>
      <c r="G9" s="16">
        <f>(Hist!$G$19-Hist!$G$30)/Hist!$G$5*100</f>
        <v>16.992925621196363</v>
      </c>
      <c r="H9" s="16">
        <f>(Hist!$H$19-Hist!$H$30)/Hist!$H$5*100</f>
        <v>16.69971238973601</v>
      </c>
      <c r="I9" s="16">
        <f>(Hist!$I$19-Hist!$I$30)/Hist!$I$5*100</f>
        <v>16.457654624504972</v>
      </c>
      <c r="J9" s="16">
        <f>(Hist!$J$19-Hist!$J$30)/Hist!$J$5*100</f>
        <v>16.624138730932962</v>
      </c>
      <c r="K9" s="16">
        <f>(Hist!$K$19-Hist!$K$30)/Hist!$K$5*100</f>
        <v>18.297702103929637</v>
      </c>
      <c r="L9" s="16">
        <f>(Hist!$L$19-Hist!$L$30)/Hist!$L$5*100</f>
        <v>17.282685743898877</v>
      </c>
      <c r="M9" s="9" t="s">
        <v>130</v>
      </c>
    </row>
    <row r="10" spans="1:13" x14ac:dyDescent="0.2">
      <c r="A10" s="3" t="s">
        <v>163</v>
      </c>
      <c r="B10" s="9" t="s">
        <v>42</v>
      </c>
      <c r="C10" s="16">
        <f>Hist!$C$8</f>
        <v>10.210000000000001</v>
      </c>
      <c r="D10" s="16">
        <f>Hist!$D$8</f>
        <v>17.13</v>
      </c>
      <c r="E10" s="16">
        <f>Hist!$E$8</f>
        <v>12.96</v>
      </c>
      <c r="F10" s="16">
        <f>Hist!$F$8</f>
        <v>11.73</v>
      </c>
      <c r="G10" s="16">
        <f>Hist!$G$8</f>
        <v>12.03</v>
      </c>
      <c r="H10" s="16">
        <f>Hist!$H$8</f>
        <v>12.58</v>
      </c>
      <c r="I10" s="16">
        <f>Hist!$I$8</f>
        <v>12.64</v>
      </c>
      <c r="J10" s="16">
        <f>Hist!$J$8</f>
        <v>12.74</v>
      </c>
      <c r="K10" s="16">
        <f>Hist!$K$8</f>
        <v>13.51</v>
      </c>
      <c r="L10" s="2"/>
      <c r="M10" s="9" t="s">
        <v>130</v>
      </c>
    </row>
    <row r="11" spans="1:13" x14ac:dyDescent="0.2">
      <c r="A11" s="3" t="s">
        <v>164</v>
      </c>
      <c r="B11" s="9" t="s">
        <v>42</v>
      </c>
      <c r="C11" s="16">
        <f>Hist!$C$24/Hist!$C$5*100</f>
        <v>3.1414145312790569</v>
      </c>
      <c r="D11" s="16">
        <f>Hist!$D$24/Hist!$D$5*100</f>
        <v>2.5675059444317774</v>
      </c>
      <c r="E11" s="16">
        <f>Hist!$E$24/Hist!$E$5*100</f>
        <v>3.2207696268272481</v>
      </c>
      <c r="F11" s="16">
        <f>Hist!$F$24/Hist!$F$5*100</f>
        <v>5.2905292546538742</v>
      </c>
      <c r="G11" s="16">
        <f>Hist!$G$24/Hist!$G$5*100</f>
        <v>4.3424534810680555</v>
      </c>
      <c r="H11" s="16">
        <f>Hist!$H$24/Hist!$H$5*100</f>
        <v>3.777817054163922</v>
      </c>
      <c r="I11" s="16">
        <f>Hist!$I$24/Hist!$I$5*100</f>
        <v>3.450363929224546</v>
      </c>
      <c r="J11" s="16">
        <f>Hist!$J$24/Hist!$J$5*100</f>
        <v>3.4331642665028244</v>
      </c>
      <c r="K11" s="16">
        <f>Hist!$K$24/Hist!$K$5*100</f>
        <v>4.9400825569624853</v>
      </c>
      <c r="L11" s="16">
        <f>Hist!$L$24/Hist!$L$5*100</f>
        <v>4.190518170825416</v>
      </c>
      <c r="M11" s="9" t="s">
        <v>130</v>
      </c>
    </row>
    <row r="12" spans="1:13" x14ac:dyDescent="0.2">
      <c r="A12" s="3" t="s">
        <v>165</v>
      </c>
      <c r="B12" s="9" t="s">
        <v>42</v>
      </c>
      <c r="C12" s="16">
        <f>Metrics!$C$8-Metrics!$C$9</f>
        <v>1.5091281022038672</v>
      </c>
      <c r="D12" s="16">
        <f>Metrics!$D$8-Metrics!$D$9</f>
        <v>-5.1781700921794105</v>
      </c>
      <c r="E12" s="16">
        <f>Metrics!$E$8-Metrics!$E$9</f>
        <v>-0.57195943677105809</v>
      </c>
      <c r="F12" s="16">
        <f>Metrics!$F$8-Metrics!$F$9</f>
        <v>0.94287858370518762</v>
      </c>
      <c r="G12" s="16">
        <f>Metrics!$G$8-Metrics!$G$9</f>
        <v>1.4454249947654425</v>
      </c>
      <c r="H12" s="16">
        <f>Metrics!$H$8-Metrics!$H$9</f>
        <v>1.6376110673714983</v>
      </c>
      <c r="I12" s="16">
        <f>Metrics!$I$8-Metrics!$I$9</f>
        <v>1.4269537731164696</v>
      </c>
      <c r="J12" s="16">
        <f>Metrics!$J$8-Metrics!$J$9</f>
        <v>1.2112624840912076</v>
      </c>
      <c r="K12" s="16">
        <f>Metrics!$K$8-Metrics!$K$9</f>
        <v>1.268661692235888</v>
      </c>
      <c r="L12" s="16">
        <f>Metrics!$L$8-Metrics!$L$9</f>
        <v>1.4516407650748491</v>
      </c>
      <c r="M12" s="9" t="s">
        <v>130</v>
      </c>
    </row>
    <row r="13" spans="1:13" x14ac:dyDescent="0.2">
      <c r="A13" s="3" t="s">
        <v>166</v>
      </c>
      <c r="B13" s="9" t="s">
        <v>167</v>
      </c>
      <c r="C13" s="16">
        <f>Hist!$C$10/Hist!$C$5*1000</f>
        <v>15.059701963866541</v>
      </c>
      <c r="D13" s="16">
        <f>Hist!$D$10/Hist!$D$5*1000</f>
        <v>16.318686687730043</v>
      </c>
      <c r="E13" s="16">
        <f>Hist!$E$10/Hist!$E$5*1000</f>
        <v>15.272772044503144</v>
      </c>
      <c r="F13" s="16">
        <f>Hist!$F$10/Hist!$F$5*1000</f>
        <v>14.556721994044977</v>
      </c>
      <c r="G13" s="16">
        <f>Hist!$G$10/Hist!$G$5*1000</f>
        <v>14.433654958415284</v>
      </c>
      <c r="H13" s="16">
        <f>Hist!$H$10/Hist!$H$5*1000</f>
        <v>14.280894001960249</v>
      </c>
      <c r="I13" s="16">
        <f>Hist!$I$10/Hist!$I$5*1000</f>
        <v>14.118152862385099</v>
      </c>
      <c r="J13" s="16">
        <f>Hist!$J$10/Hist!$J$5*1000</f>
        <v>14.131395647730763</v>
      </c>
      <c r="K13" s="16">
        <f>Hist!$K$10/Hist!$K$5*1000</f>
        <v>14.0140746891991</v>
      </c>
      <c r="L13" s="16">
        <f>Hist!$L$10/Hist!$L$5*1000</f>
        <v>14.060722305946545</v>
      </c>
      <c r="M13" s="9" t="s">
        <v>130</v>
      </c>
    </row>
    <row r="14" spans="1:13" x14ac:dyDescent="0.2">
      <c r="A14" s="3" t="s">
        <v>168</v>
      </c>
      <c r="B14" s="9" t="s">
        <v>36</v>
      </c>
      <c r="C14" s="16">
        <f>Hist!$C$5/Hist!$C$12/1000</f>
        <v>2.9718352450469236</v>
      </c>
      <c r="D14" s="16">
        <f>Hist!$D$5/Hist!$D$12/1000</f>
        <v>1.6505913978494622</v>
      </c>
      <c r="E14" s="16">
        <f>Hist!$E$5/Hist!$E$12/1000</f>
        <v>2.1246611177170038</v>
      </c>
      <c r="F14" s="16">
        <f>Hist!$F$5/Hist!$F$12/1000</f>
        <v>2.6708836206896551</v>
      </c>
      <c r="G14" s="16">
        <f>Hist!$G$5/Hist!$G$12/1000</f>
        <v>2.8202613746369796</v>
      </c>
      <c r="H14" s="16">
        <f>Hist!$H$5/Hist!$H$12/1000</f>
        <v>2.9001397949673815</v>
      </c>
      <c r="I14" s="16">
        <f>Hist!$I$5/Hist!$I$12/1000</f>
        <v>2.9177031802120141</v>
      </c>
      <c r="J14" s="2"/>
      <c r="K14" s="2"/>
      <c r="L14" s="2"/>
      <c r="M14" s="9" t="s">
        <v>130</v>
      </c>
    </row>
    <row r="15" spans="1:13" x14ac:dyDescent="0.2">
      <c r="A15" s="3" t="s">
        <v>169</v>
      </c>
      <c r="B15" s="9" t="s">
        <v>150</v>
      </c>
      <c r="C15" s="2"/>
      <c r="D15" s="18">
        <f>Hist!$D$5/Hist!$C$5-1</f>
        <v>-0.56910726002547385</v>
      </c>
      <c r="E15" s="18">
        <f>Hist!$E$5/Hist!$D$5-1</f>
        <v>0.45503403797921882</v>
      </c>
      <c r="F15" s="18">
        <f>Hist!$F$5/Hist!$E$5-1</f>
        <v>0.38713035302545284</v>
      </c>
      <c r="G15" s="18">
        <f>Hist!$G$5/Hist!$F$5-1</f>
        <v>0.17540285163278968</v>
      </c>
      <c r="H15" s="18">
        <f>Hist!$H$5/Hist!$G$5-1</f>
        <v>6.8141954395828819E-2</v>
      </c>
      <c r="I15" s="18">
        <f>Hist!$I$5/Hist!$H$5-1</f>
        <v>6.1375066278901658E-2</v>
      </c>
      <c r="J15" s="2"/>
      <c r="K15" s="2"/>
      <c r="L15" s="2"/>
      <c r="M15" s="9" t="s">
        <v>130</v>
      </c>
    </row>
    <row r="16" spans="1:13" x14ac:dyDescent="0.2">
      <c r="A16" s="3" t="s">
        <v>170</v>
      </c>
      <c r="B16" s="9" t="s">
        <v>150</v>
      </c>
      <c r="C16" s="2"/>
      <c r="D16" s="18">
        <f>Metrics!$D$8/Metrics!$C$8-1</f>
        <v>-0.17623342115506702</v>
      </c>
      <c r="E16" s="18">
        <f>Metrics!$E$8/Metrics!$D$8-1</f>
        <v>0.10258470407047993</v>
      </c>
      <c r="F16" s="18">
        <f>Metrics!$F$8/Metrics!$E$8-1</f>
        <v>0.31560583163907308</v>
      </c>
      <c r="G16" s="18">
        <f>Metrics!$G$8/Metrics!$F$8-1</f>
        <v>1.6592749854534627E-2</v>
      </c>
      <c r="H16" s="18">
        <f>Metrics!$H$8/Metrics!$G$8-1</f>
        <v>-5.4791863414745956E-3</v>
      </c>
      <c r="I16" s="18">
        <f>Metrics!$I$8/Metrics!$H$8-1</f>
        <v>-2.4688175487824315E-2</v>
      </c>
      <c r="J16" s="2"/>
      <c r="K16" s="2"/>
      <c r="L16" s="2"/>
      <c r="M16" s="9" t="s">
        <v>130</v>
      </c>
    </row>
    <row r="17" spans="1:13" x14ac:dyDescent="0.2">
      <c r="A17" s="3" t="s">
        <v>171</v>
      </c>
      <c r="B17" s="9" t="s">
        <v>150</v>
      </c>
      <c r="C17" s="2"/>
      <c r="D17" s="18">
        <f>Metrics!$D$10/Metrics!$C$10-1</f>
        <v>0.67776689520078337</v>
      </c>
      <c r="E17" s="18">
        <f>Metrics!$E$10/Metrics!$D$10-1</f>
        <v>-0.243432574430823</v>
      </c>
      <c r="F17" s="18">
        <f>Metrics!$F$10/Metrics!$E$10-1</f>
        <v>-9.490740740740744E-2</v>
      </c>
      <c r="G17" s="18">
        <f>Metrics!$G$10/Metrics!$F$10-1</f>
        <v>2.5575447570332477E-2</v>
      </c>
      <c r="H17" s="18">
        <f>Metrics!$H$10/Metrics!$G$10-1</f>
        <v>4.5719035743973402E-2</v>
      </c>
      <c r="I17" s="18">
        <f>Metrics!$I$10/Metrics!$H$10-1</f>
        <v>4.7694753577107729E-3</v>
      </c>
      <c r="J17" s="2"/>
      <c r="K17" s="2"/>
      <c r="L17" s="2"/>
      <c r="M17" s="9" t="s">
        <v>130</v>
      </c>
    </row>
    <row r="18" spans="1:13" x14ac:dyDescent="0.2">
      <c r="A18" s="7" t="s">
        <v>172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x14ac:dyDescent="0.2">
      <c r="A19" s="3" t="s">
        <v>173</v>
      </c>
      <c r="B19" s="9" t="s">
        <v>150</v>
      </c>
      <c r="C19" s="18">
        <f>Hist!$C$16/Hist!$C$19</f>
        <v>0.91599435955523711</v>
      </c>
      <c r="D19" s="18">
        <f>Hist!$D$16/Hist!$D$19</f>
        <v>0.76880494952784106</v>
      </c>
      <c r="E19" s="18">
        <f>Hist!$E$16/Hist!$E$19</f>
        <v>0.81988308841438662</v>
      </c>
      <c r="F19" s="18">
        <f>Hist!$F$16/Hist!$F$19</f>
        <v>0.89049049049049045</v>
      </c>
      <c r="G19" s="18">
        <f>Hist!$G$16/Hist!$G$19</f>
        <v>0.91304428765567702</v>
      </c>
      <c r="H19" s="18">
        <f>Hist!$H$16/Hist!$H$19</f>
        <v>0.90827681685155004</v>
      </c>
      <c r="I19" s="18">
        <f>Hist!$I$16/Hist!$I$19</f>
        <v>0.90465549348230911</v>
      </c>
      <c r="J19" s="18">
        <f>Hist!$J$16/Hist!$J$19</f>
        <v>0.9032620922384702</v>
      </c>
      <c r="K19" s="18">
        <f>Hist!$K$16/Hist!$K$19</f>
        <v>0.90666047087980173</v>
      </c>
      <c r="L19" s="18">
        <f>Hist!$L$16/Hist!$L$19</f>
        <v>0.90631458459190484</v>
      </c>
      <c r="M19" s="9" t="s">
        <v>130</v>
      </c>
    </row>
    <row r="20" spans="1:13" x14ac:dyDescent="0.2">
      <c r="A20" s="3" t="s">
        <v>174</v>
      </c>
      <c r="B20" s="9" t="s">
        <v>150</v>
      </c>
      <c r="C20" s="18">
        <f>Hist!$C$17/Hist!$C$19</f>
        <v>2.7254444161908503E-2</v>
      </c>
      <c r="D20" s="18">
        <f>Hist!$D$17/Hist!$D$19</f>
        <v>0.10732660371214588</v>
      </c>
      <c r="E20" s="18">
        <f>Hist!$E$17/Hist!$E$19</f>
        <v>9.5356012015912969E-2</v>
      </c>
      <c r="F20" s="18">
        <f>Hist!$F$17/Hist!$F$19</f>
        <v>4.8292737181626071E-2</v>
      </c>
      <c r="G20" s="18">
        <f>Hist!$G$17/Hist!$G$19</f>
        <v>2.783104045274308E-2</v>
      </c>
      <c r="H20" s="18">
        <f>Hist!$H$17/Hist!$H$19</f>
        <v>3.0545186898690922E-2</v>
      </c>
      <c r="I20" s="18">
        <f>Hist!$I$17/Hist!$I$19</f>
        <v>3.0116810563737939E-2</v>
      </c>
      <c r="J20" s="18">
        <f>Hist!$J$17/Hist!$J$19</f>
        <v>3.0195444319460068E-2</v>
      </c>
      <c r="K20" s="18">
        <f>Hist!$K$17/Hist!$K$19</f>
        <v>2.9399008674101612E-2</v>
      </c>
      <c r="L20" s="18">
        <f>Hist!$L$17/Hist!$L$19</f>
        <v>2.9712886712664144E-2</v>
      </c>
      <c r="M20" s="9" t="s">
        <v>130</v>
      </c>
    </row>
    <row r="21" spans="1:13" x14ac:dyDescent="0.2">
      <c r="A21" s="3" t="s">
        <v>175</v>
      </c>
      <c r="B21" s="9" t="s">
        <v>150</v>
      </c>
      <c r="C21" s="18">
        <f>Hist!$C$18/Hist!$C$19</f>
        <v>5.6751196282854438E-2</v>
      </c>
      <c r="D21" s="18">
        <f>Hist!$D$18/Hist!$D$19</f>
        <v>0.12386844676001303</v>
      </c>
      <c r="E21" s="18">
        <f>Hist!$E$18/Hist!$E$19</f>
        <v>8.4760899569700413E-2</v>
      </c>
      <c r="F21" s="18">
        <f>Hist!$F$18/Hist!$F$19</f>
        <v>6.1216772327883438E-2</v>
      </c>
      <c r="G21" s="18">
        <f>Hist!$G$18/Hist!$G$19</f>
        <v>5.9124671891579945E-2</v>
      </c>
      <c r="H21" s="18">
        <f>Hist!$H$18/Hist!$H$19</f>
        <v>6.1177996249759038E-2</v>
      </c>
      <c r="I21" s="18">
        <f>Hist!$I$18/Hist!$I$19</f>
        <v>6.5227695953952933E-2</v>
      </c>
      <c r="J21" s="18">
        <f>Hist!$J$18/Hist!$J$19</f>
        <v>6.6542463442069738E-2</v>
      </c>
      <c r="K21" s="18">
        <f>Hist!$K$18/Hist!$K$19</f>
        <v>6.394052044609666E-2</v>
      </c>
      <c r="L21" s="18">
        <f>Hist!$L$18/Hist!$L$19</f>
        <v>6.3972528695430991E-2</v>
      </c>
      <c r="M21" s="9" t="s">
        <v>130</v>
      </c>
    </row>
    <row r="22" spans="1:13" x14ac:dyDescent="0.2">
      <c r="A22" s="3" t="s">
        <v>176</v>
      </c>
      <c r="B22" s="9" t="s">
        <v>150</v>
      </c>
      <c r="C22" s="2"/>
      <c r="D22" s="2"/>
      <c r="E22" s="2"/>
      <c r="F22" s="2"/>
      <c r="G22" s="18">
        <f>Hist!$G$21/Hist!$G$19</f>
        <v>5.0263417540071111E-2</v>
      </c>
      <c r="H22" s="18">
        <f>Hist!$H$21/Hist!$H$19</f>
        <v>5.0821022378774339E-2</v>
      </c>
      <c r="I22" s="18">
        <f>Hist!$I$21/Hist!$I$19</f>
        <v>5.4173015066869813E-2</v>
      </c>
      <c r="J22" s="18">
        <f>Hist!$J$21/Hist!$J$19</f>
        <v>5.6242969628796401E-2</v>
      </c>
      <c r="K22" s="18">
        <f>Hist!$K$21/Hist!$K$19</f>
        <v>5.5762081784386616E-2</v>
      </c>
      <c r="L22" s="18">
        <f>Hist!$L$21/Hist!$L$19</f>
        <v>5.4052335378843283E-2</v>
      </c>
      <c r="M22" s="9" t="s">
        <v>130</v>
      </c>
    </row>
    <row r="23" spans="1:13" x14ac:dyDescent="0.2">
      <c r="A23" s="3" t="s">
        <v>177</v>
      </c>
      <c r="B23" s="9" t="s">
        <v>56</v>
      </c>
      <c r="C23" s="2"/>
      <c r="D23" s="2"/>
      <c r="E23" s="2"/>
      <c r="F23" s="2"/>
      <c r="G23" s="2"/>
      <c r="H23" s="11">
        <f>Hist!$H$21+Hist!$H$23</f>
        <v>6050</v>
      </c>
      <c r="I23" s="11">
        <f>Hist!$I$21+Hist!$I$23</f>
        <v>6614</v>
      </c>
      <c r="J23" s="2"/>
      <c r="K23" s="2"/>
      <c r="L23" s="2"/>
      <c r="M23" s="9" t="s">
        <v>178</v>
      </c>
    </row>
    <row r="24" spans="1:13" x14ac:dyDescent="0.2">
      <c r="A24" s="3" t="s">
        <v>179</v>
      </c>
      <c r="B24" s="9" t="s">
        <v>150</v>
      </c>
      <c r="C24" s="2"/>
      <c r="D24" s="2"/>
      <c r="E24" s="2"/>
      <c r="F24" s="2"/>
      <c r="G24" s="2"/>
      <c r="H24" s="18">
        <f>Metrics!$H$23/Hist!$H$19</f>
        <v>0.10602316737640853</v>
      </c>
      <c r="I24" s="18">
        <f>Metrics!$I$23/Hist!$I$19</f>
        <v>0.11196885051633655</v>
      </c>
      <c r="J24" s="2"/>
      <c r="K24" s="2"/>
      <c r="L24" s="2"/>
      <c r="M24" s="9" t="s">
        <v>130</v>
      </c>
    </row>
    <row r="25" spans="1:13" x14ac:dyDescent="0.2">
      <c r="A25" s="7" t="s">
        <v>180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 x14ac:dyDescent="0.2">
      <c r="A26" s="3" t="s">
        <v>181</v>
      </c>
      <c r="B26" s="9" t="s">
        <v>150</v>
      </c>
      <c r="C26" s="18">
        <f>Hist!$C$30/Hist!$C$19</f>
        <v>9.9424397235257408E-2</v>
      </c>
      <c r="D26" s="18">
        <f>Hist!$D$30/Hist!$D$19</f>
        <v>-0.41413220449365029</v>
      </c>
      <c r="E26" s="18">
        <f>Hist!$E$30/Hist!$E$19</f>
        <v>-4.1487375172525778E-2</v>
      </c>
      <c r="F26" s="18">
        <f>Hist!$F$30/Hist!$F$19</f>
        <v>5.1985318651985316E-2</v>
      </c>
      <c r="G26" s="18">
        <f>Hist!$G$30/Hist!$G$19</f>
        <v>7.8392315281940544E-2</v>
      </c>
      <c r="H26" s="18">
        <f>Hist!$H$30/Hist!$H$19</f>
        <v>8.9304803462839324E-2</v>
      </c>
      <c r="I26" s="18">
        <f>Hist!$I$30/Hist!$I$19</f>
        <v>7.9786693753174195E-2</v>
      </c>
      <c r="J26" s="18">
        <f>Hist!$J$30/Hist!$J$19</f>
        <v>6.7913385826771658E-2</v>
      </c>
      <c r="K26" s="18">
        <f>Hist!$K$30/Hist!$K$19</f>
        <v>6.4838909541511766E-2</v>
      </c>
      <c r="L26" s="18">
        <f>Hist!$L$30/Hist!$L$19</f>
        <v>7.7485612540141802E-2</v>
      </c>
      <c r="M26" s="9" t="s">
        <v>130</v>
      </c>
    </row>
    <row r="27" spans="1:13" x14ac:dyDescent="0.2">
      <c r="A27" s="3" t="s">
        <v>149</v>
      </c>
      <c r="B27" s="9" t="s">
        <v>150</v>
      </c>
      <c r="C27" s="18">
        <f>Hist!$C$31/Hist!$C$19</f>
        <v>0.10511107515199149</v>
      </c>
      <c r="D27" s="18">
        <f>Hist!$D$31/Hist!$D$19</f>
        <v>-0.58450016281341588</v>
      </c>
      <c r="E27" s="18">
        <f>Hist!$E$31/Hist!$E$19</f>
        <v>-0.17816838515872371</v>
      </c>
      <c r="F27" s="18">
        <f>Hist!$F$31/Hist!$F$19</f>
        <v>5.5099543988432878E-2</v>
      </c>
      <c r="G27" s="18">
        <f>Hist!$G$31/Hist!$G$19</f>
        <v>9.605897574324701E-2</v>
      </c>
      <c r="H27" s="18">
        <f>Hist!$H$31/Hist!$H$19</f>
        <v>9.1267546396088528E-2</v>
      </c>
      <c r="I27" s="18">
        <f>Hist!$I$31/Hist!$I$19</f>
        <v>8.417132216014897E-2</v>
      </c>
      <c r="J27" s="18">
        <f>Hist!$J$31/Hist!$J$19</f>
        <v>7.9865016872890895E-2</v>
      </c>
      <c r="K27" s="18">
        <f>Hist!$K$31/Hist!$K$19</f>
        <v>4.8296158612143744E-2</v>
      </c>
      <c r="L27" s="18">
        <f>Hist!$L$31/Hist!$L$19</f>
        <v>6.7708498934851036E-2</v>
      </c>
      <c r="M27" s="9" t="s">
        <v>130</v>
      </c>
    </row>
    <row r="28" spans="1:13" x14ac:dyDescent="0.2">
      <c r="A28" s="3" t="s">
        <v>151</v>
      </c>
      <c r="B28" s="9" t="s">
        <v>150</v>
      </c>
      <c r="C28" s="18">
        <f>Hist!$C$36/Hist!$C$19</f>
        <v>9.4107584548880005E-2</v>
      </c>
      <c r="D28" s="18">
        <f>Hist!$D$36/Hist!$D$19</f>
        <v>-0.64213611201563003</v>
      </c>
      <c r="E28" s="18">
        <f>Hist!$E$36/Hist!$E$19</f>
        <v>-0.23581229195420964</v>
      </c>
      <c r="F28" s="18">
        <f>Hist!$F$36/Hist!$F$19</f>
        <v>2.4847069291513736E-2</v>
      </c>
      <c r="G28" s="18">
        <f>Hist!$G$36/Hist!$G$19</f>
        <v>8.042146806411378E-2</v>
      </c>
      <c r="H28" s="18">
        <f>Hist!$H$36/Hist!$H$19</f>
        <v>8.0735327620349434E-2</v>
      </c>
      <c r="I28" s="18">
        <f>Hist!$I$36/Hist!$I$19</f>
        <v>7.7535127814457427E-2</v>
      </c>
      <c r="J28" s="18">
        <f>Hist!$J$36/Hist!$J$19</f>
        <v>7.2447975253093364E-2</v>
      </c>
      <c r="K28" s="18">
        <f>Hist!$K$36/Hist!$K$19</f>
        <v>4.1573729863692691E-2</v>
      </c>
      <c r="L28" s="18">
        <f>Hist!$L$36/Hist!$L$19</f>
        <v>6.1381196146386444E-2</v>
      </c>
      <c r="M28" s="9" t="s">
        <v>130</v>
      </c>
    </row>
    <row r="29" spans="1:13" x14ac:dyDescent="0.2">
      <c r="A29" s="3" t="s">
        <v>182</v>
      </c>
      <c r="B29" s="9" t="s">
        <v>150</v>
      </c>
      <c r="C29" s="18">
        <f>Hist!$C$35/Hist!$C$19</f>
        <v>6.9557779883954785E-2</v>
      </c>
      <c r="D29" s="18">
        <f>Hist!$D$35/Hist!$D$19</f>
        <v>-0.46037121458808206</v>
      </c>
      <c r="E29" s="18">
        <f>Hist!$E$35/Hist!$E$19</f>
        <v>-7.9727206300235443E-2</v>
      </c>
      <c r="F29" s="18">
        <f>Hist!$F$35/Hist!$F$19</f>
        <v>1.6394171949727504E-2</v>
      </c>
      <c r="G29" s="18">
        <f>Hist!$G$35/Hist!$G$19</f>
        <v>4.8736898933298585E-2</v>
      </c>
      <c r="H29" s="18">
        <f>Hist!$H$35/Hist!$H$19</f>
        <v>5.5184620507158756E-2</v>
      </c>
      <c r="I29" s="18">
        <f>Hist!$I$35/Hist!$I$19</f>
        <v>5.676316234975453E-2</v>
      </c>
      <c r="J29" s="18">
        <f>Hist!$J$35/Hist!$J$19</f>
        <v>4.784167604049494E-2</v>
      </c>
      <c r="K29" s="18">
        <f>Hist!$K$35/Hist!$K$19</f>
        <v>4.6592317224287486E-2</v>
      </c>
      <c r="L29" s="18">
        <f>Hist!$L$35/Hist!$L$19</f>
        <v>5.5578518966010619E-2</v>
      </c>
      <c r="M29" s="9" t="s">
        <v>130</v>
      </c>
    </row>
    <row r="30" spans="1:13" x14ac:dyDescent="0.2">
      <c r="A30" s="3" t="s">
        <v>183</v>
      </c>
      <c r="B30" s="9" t="s">
        <v>56</v>
      </c>
      <c r="C30" s="11">
        <f>Hist!$C$39+Hist!$C$27</f>
        <v>7096</v>
      </c>
      <c r="D30" s="11">
        <f>Hist!$D$39+Hist!$D$27</f>
        <v>-6232</v>
      </c>
      <c r="E30" s="11">
        <f>Hist!$E$39+Hist!$E$27</f>
        <v>-1555</v>
      </c>
      <c r="F30" s="11">
        <f>Hist!$F$39+Hist!$F$27</f>
        <v>5200</v>
      </c>
      <c r="G30" s="11">
        <f>Hist!$G$39+Hist!$G$27</f>
        <v>8135</v>
      </c>
      <c r="H30" s="11">
        <f>Hist!$H$39+Hist!$H$27</f>
        <v>8404</v>
      </c>
      <c r="I30" s="11">
        <f>Hist!$I$39+Hist!$I$27</f>
        <v>8328</v>
      </c>
      <c r="J30" s="11">
        <f>Hist!$J$39+Hist!$J$27</f>
        <v>3927</v>
      </c>
      <c r="K30" s="11">
        <f>Hist!$K$39+Hist!$K$27</f>
        <v>3328</v>
      </c>
      <c r="L30" s="11">
        <f>Hist!$L$39+Hist!$L$27</f>
        <v>7729</v>
      </c>
      <c r="M30" s="9" t="s">
        <v>184</v>
      </c>
    </row>
    <row r="31" spans="1:13" x14ac:dyDescent="0.2">
      <c r="A31" s="3" t="s">
        <v>185</v>
      </c>
      <c r="B31" s="9" t="s">
        <v>56</v>
      </c>
      <c r="C31" s="2"/>
      <c r="D31" s="2"/>
      <c r="E31" s="2"/>
      <c r="F31" s="2"/>
      <c r="G31" s="2"/>
      <c r="H31" s="11">
        <f>Hist!$H$39+Hist!$H$40</f>
        <v>9066</v>
      </c>
      <c r="I31" s="11">
        <f>Hist!$I$39+Hist!$I$40</f>
        <v>8970</v>
      </c>
      <c r="J31" s="11">
        <f>Hist!$J$39+Hist!$J$40</f>
        <v>4242</v>
      </c>
      <c r="K31" s="11">
        <f>Hist!$K$39+Hist!$K$40</f>
        <v>3647</v>
      </c>
      <c r="L31" s="11">
        <f>Hist!$L$39+Hist!$L$40</f>
        <v>8375</v>
      </c>
      <c r="M31" s="9" t="s">
        <v>186</v>
      </c>
    </row>
    <row r="32" spans="1:13" x14ac:dyDescent="0.2">
      <c r="A32" s="3" t="s">
        <v>187</v>
      </c>
      <c r="B32" s="9" t="s">
        <v>150</v>
      </c>
      <c r="C32" s="18">
        <f>Metrics!$C$30/Hist!$C$19</f>
        <v>0.16403522966319148</v>
      </c>
      <c r="D32" s="18">
        <f>Metrics!$D$30/Hist!$D$19</f>
        <v>-0.40586128296971669</v>
      </c>
      <c r="E32" s="18">
        <f>Metrics!$E$30/Hist!$E$19</f>
        <v>-6.3124137371113095E-2</v>
      </c>
      <c r="F32" s="18">
        <f>Metrics!$F$30/Hist!$F$19</f>
        <v>0.11567122678233789</v>
      </c>
      <c r="G32" s="18">
        <f>Metrics!$G$30/Hist!$G$19</f>
        <v>0.15144181544017724</v>
      </c>
      <c r="H32" s="18">
        <f>Metrics!$H$30/Hist!$H$19</f>
        <v>0.14727581795559294</v>
      </c>
      <c r="I32" s="18">
        <f>Metrics!$I$30/Hist!$I$19</f>
        <v>0.14098527171152869</v>
      </c>
      <c r="J32" s="18">
        <f>Metrics!$J$30/Hist!$J$19</f>
        <v>0.13804133858267717</v>
      </c>
      <c r="K32" s="18">
        <f>Metrics!$K$30/Hist!$K$19</f>
        <v>0.10309789343246592</v>
      </c>
      <c r="L32" s="18">
        <f>Metrics!$L$30/Hist!$L$19</f>
        <v>0.1228736765126705</v>
      </c>
      <c r="M32" s="9" t="s">
        <v>130</v>
      </c>
    </row>
    <row r="33" spans="1:13" x14ac:dyDescent="0.2">
      <c r="A33" s="7" t="s">
        <v>188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 x14ac:dyDescent="0.2">
      <c r="A34" s="3" t="s">
        <v>189</v>
      </c>
      <c r="B34" s="9" t="s">
        <v>56</v>
      </c>
      <c r="C34" s="11">
        <f>Hist!$C$42-Hist!$C$43</f>
        <v>2381</v>
      </c>
      <c r="D34" s="11">
        <f>Hist!$D$42-Hist!$D$43</f>
        <v>-5860</v>
      </c>
      <c r="E34" s="11">
        <f>Hist!$E$42-Hist!$E$43</f>
        <v>-40</v>
      </c>
      <c r="F34" s="11">
        <f>Hist!$F$42-Hist!$F$43</f>
        <v>1247</v>
      </c>
      <c r="G34" s="11">
        <f>Hist!$G$42-Hist!$G$43</f>
        <v>-260</v>
      </c>
      <c r="H34" s="11">
        <f>Hist!$H$42-Hist!$H$43</f>
        <v>3830</v>
      </c>
      <c r="I34" s="11">
        <f>Hist!$I$42-Hist!$I$43</f>
        <v>2557</v>
      </c>
      <c r="J34" s="11">
        <f>Hist!$J$42-Hist!$J$43</f>
        <v>3407</v>
      </c>
      <c r="K34" s="11">
        <f>Hist!$K$42-Hist!$K$43</f>
        <v>3394</v>
      </c>
      <c r="L34" s="11">
        <f>Hist!$L$42-Hist!$L$43</f>
        <v>2544</v>
      </c>
      <c r="M34" s="9" t="s">
        <v>130</v>
      </c>
    </row>
    <row r="35" spans="1:13" x14ac:dyDescent="0.2">
      <c r="A35" s="3" t="s">
        <v>190</v>
      </c>
      <c r="B35" s="9" t="s">
        <v>150</v>
      </c>
      <c r="C35" s="18">
        <f>Metrics!$C$34/Hist!$C$19</f>
        <v>5.5040569592454749E-2</v>
      </c>
      <c r="D35" s="18">
        <f>Metrics!$D$34/Hist!$D$19</f>
        <v>-0.38163464669488767</v>
      </c>
      <c r="E35" s="18">
        <f>Metrics!$E$34/Hist!$E$19</f>
        <v>-1.6237720224080538E-3</v>
      </c>
      <c r="F35" s="18">
        <f>Metrics!$F$34/Hist!$F$19</f>
        <v>2.7738849961072183E-2</v>
      </c>
      <c r="G35" s="18">
        <f>Metrics!$G$34/Hist!$G$19</f>
        <v>-4.8401809483031438E-3</v>
      </c>
      <c r="H35" s="18">
        <f>Metrics!$H$34/Hist!$H$19</f>
        <v>6.7118798520932998E-2</v>
      </c>
      <c r="I35" s="18">
        <f>Metrics!$I$34/Hist!$I$19</f>
        <v>4.3287624851870661E-2</v>
      </c>
      <c r="J35" s="18">
        <f>Metrics!$J$34/Hist!$J$19</f>
        <v>0.11976237345331833</v>
      </c>
      <c r="K35" s="18">
        <f>Metrics!$K$34/Hist!$K$19</f>
        <v>0.10514250309789343</v>
      </c>
      <c r="L35" s="18">
        <f>Metrics!$L$34/Hist!$L$19</f>
        <v>4.0443865059934504E-2</v>
      </c>
      <c r="M35" s="9" t="s">
        <v>130</v>
      </c>
    </row>
    <row r="36" spans="1:13" x14ac:dyDescent="0.2">
      <c r="A36" s="3" t="s">
        <v>191</v>
      </c>
      <c r="B36" s="9" t="s">
        <v>192</v>
      </c>
      <c r="C36" s="14">
        <f>IF(Hist!$C$35&gt;0,Hist!$C$42/Hist!$C$35,"н/п")</f>
        <v>2.2961116650049851</v>
      </c>
      <c r="D36" s="14" t="str">
        <f>IF(Hist!$D$35&gt;0,Hist!$D$42/Hist!$D$35,"н/п")</f>
        <v>н/п</v>
      </c>
      <c r="E36" s="14" t="str">
        <f>IF(Hist!$E$35&gt;0,Hist!$E$42/Hist!$E$35,"н/п")</f>
        <v>н/п</v>
      </c>
      <c r="F36" s="14">
        <f>IF(Hist!$F$35&gt;0,Hist!$F$42/Hist!$F$35,"н/п")</f>
        <v>8.2306648575305292</v>
      </c>
      <c r="G36" s="14">
        <f>IF(Hist!$G$35&gt;0,Hist!$G$42/Hist!$G$35,"н/п")</f>
        <v>2.6398013750954927</v>
      </c>
      <c r="H36" s="14">
        <f>IF(Hist!$H$35&gt;0,Hist!$H$42/Hist!$H$35,"н/п")</f>
        <v>2.9993648777389645</v>
      </c>
      <c r="I36" s="14">
        <f>IF(Hist!$I$35&gt;0,Hist!$I$42/Hist!$I$35,"н/п")</f>
        <v>2.514464658514763</v>
      </c>
      <c r="J36" s="14">
        <f>IF(Hist!$J$35&gt;0,Hist!$J$42/Hist!$J$35,"н/п")</f>
        <v>4.3548861131520944</v>
      </c>
      <c r="K36" s="14">
        <f>IF(Hist!$K$35&gt;0,Hist!$K$42/Hist!$K$35,"н/п")</f>
        <v>4.261303191489362</v>
      </c>
      <c r="L36" s="14">
        <f>IF(Hist!$L$35&gt;0,Hist!$L$42/Hist!$L$35,"н/п")</f>
        <v>2.5494851258581237</v>
      </c>
      <c r="M36" s="9" t="s">
        <v>130</v>
      </c>
    </row>
    <row r="37" spans="1:13" x14ac:dyDescent="0.2">
      <c r="A37" s="3" t="s">
        <v>193</v>
      </c>
      <c r="B37" s="9" t="s">
        <v>150</v>
      </c>
      <c r="C37" s="2"/>
      <c r="D37" s="18">
        <f>Hist!$D$44/Hist!$D$19</f>
        <v>0.22461738847281015</v>
      </c>
      <c r="E37" s="18">
        <f>Hist!$E$44/Hist!$E$19</f>
        <v>0.11800763172850531</v>
      </c>
      <c r="F37" s="18">
        <f>Hist!$F$44/Hist!$F$19</f>
        <v>0.10761872984095207</v>
      </c>
      <c r="G37" s="18">
        <f>Hist!$G$44/Hist!$G$19</f>
        <v>0.14796060837351305</v>
      </c>
      <c r="H37" s="18">
        <f>Hist!$H$44/Hist!$H$19</f>
        <v>0.10975588384767714</v>
      </c>
      <c r="I37" s="18">
        <f>Hist!$I$44/Hist!$I$19</f>
        <v>0.10607753512781445</v>
      </c>
      <c r="J37" s="18">
        <f>Hist!$J$44/Hist!$J$19</f>
        <v>8.6754780652418442E-2</v>
      </c>
      <c r="K37" s="18">
        <f>Hist!$K$44/Hist!$K$19</f>
        <v>9.8110285006195785E-2</v>
      </c>
      <c r="L37" s="18">
        <f>Hist!$L$44/Hist!$L$19</f>
        <v>0.11072779879813043</v>
      </c>
      <c r="M37" s="9" t="s">
        <v>130</v>
      </c>
    </row>
    <row r="38" spans="1:13" x14ac:dyDescent="0.2">
      <c r="A38" s="3" t="s">
        <v>194</v>
      </c>
      <c r="B38" s="9" t="s">
        <v>56</v>
      </c>
      <c r="C38" s="2"/>
      <c r="D38" s="2"/>
      <c r="E38" s="11">
        <f>(Hist!$E$53+Hist!$E$54)-(Hist!$D$53+Hist!$D$54)</f>
        <v>1828</v>
      </c>
      <c r="F38" s="11">
        <f>(Hist!$F$53+Hist!$F$54)-(Hist!$E$53+Hist!$E$54)</f>
        <v>1594</v>
      </c>
      <c r="G38" s="11">
        <f>(Hist!$G$53+Hist!$G$54)-(Hist!$F$53+Hist!$F$54)</f>
        <v>-383</v>
      </c>
      <c r="H38" s="11">
        <f>(Hist!$H$53+Hist!$H$54)-(Hist!$G$53+Hist!$G$54)</f>
        <v>1155</v>
      </c>
      <c r="I38" s="11">
        <f>(Hist!$I$53+Hist!$I$54)-(Hist!$H$53+Hist!$H$54)</f>
        <v>906</v>
      </c>
      <c r="J38" s="2"/>
      <c r="K38" s="2"/>
      <c r="L38" s="2"/>
      <c r="M38" s="9" t="s">
        <v>130</v>
      </c>
    </row>
    <row r="39" spans="1:13" x14ac:dyDescent="0.2">
      <c r="A39" s="3" t="s">
        <v>195</v>
      </c>
      <c r="B39" s="9" t="s">
        <v>56</v>
      </c>
      <c r="C39" s="2"/>
      <c r="D39" s="2"/>
      <c r="E39" s="11">
        <f>Hist!$E$42-Metrics!$E$38</f>
        <v>239</v>
      </c>
      <c r="F39" s="11">
        <f>Hist!$F$42-Metrics!$F$38</f>
        <v>4472</v>
      </c>
      <c r="G39" s="11">
        <f>Hist!$G$42-Metrics!$G$38</f>
        <v>7294</v>
      </c>
      <c r="H39" s="11">
        <f>Hist!$H$42-Metrics!$H$38</f>
        <v>8290</v>
      </c>
      <c r="I39" s="11">
        <f>Hist!$I$42-Metrics!$I$38</f>
        <v>7525</v>
      </c>
      <c r="J39" s="2"/>
      <c r="K39" s="2"/>
      <c r="L39" s="2"/>
      <c r="M39" s="9" t="s">
        <v>130</v>
      </c>
    </row>
    <row r="40" spans="1:13" x14ac:dyDescent="0.2">
      <c r="A40" s="3" t="s">
        <v>196</v>
      </c>
      <c r="B40" s="9" t="s">
        <v>192</v>
      </c>
      <c r="C40" s="2"/>
      <c r="D40" s="2"/>
      <c r="E40" s="2"/>
      <c r="F40" s="14">
        <f>IF(Hist!$F$35&gt;0,Metrics!$F$39/Hist!$F$35,"н/п")</f>
        <v>6.0678426051560379</v>
      </c>
      <c r="G40" s="14">
        <f>IF(Hist!$G$35&gt;0,Metrics!$G$39/Hist!$G$35,"н/п")</f>
        <v>2.786096256684492</v>
      </c>
      <c r="H40" s="14">
        <f>IF(Hist!$H$35&gt;0,Metrics!$H$39/Hist!$H$35,"н/п")</f>
        <v>2.6325817719911084</v>
      </c>
      <c r="I40" s="14">
        <f>IF(Hist!$I$35&gt;0,Metrics!$I$39/Hist!$I$35,"н/п")</f>
        <v>2.2442588726513568</v>
      </c>
      <c r="J40" s="2"/>
      <c r="K40" s="2"/>
      <c r="L40" s="2"/>
      <c r="M40" s="9" t="s">
        <v>130</v>
      </c>
    </row>
    <row r="41" spans="1:13" x14ac:dyDescent="0.2">
      <c r="A41" s="3" t="s">
        <v>197</v>
      </c>
      <c r="B41" s="9" t="s">
        <v>150</v>
      </c>
      <c r="C41" s="2"/>
      <c r="D41" s="18">
        <f>(Hist!$D$53+Hist!$D$54)/Hist!$D$19</f>
        <v>0.70387495929664601</v>
      </c>
      <c r="E41" s="18">
        <f>(Hist!$E$53+Hist!$E$54)/Hist!$E$19</f>
        <v>0.51294958187870421</v>
      </c>
      <c r="F41" s="18">
        <f>(Hist!$F$53+Hist!$F$54)/Hist!$F$19</f>
        <v>0.31653876098320544</v>
      </c>
      <c r="G41" s="18">
        <f>(Hist!$G$53+Hist!$G$54)/Hist!$G$19</f>
        <v>0.25777686765828323</v>
      </c>
      <c r="H41" s="18">
        <f>(Hist!$H$53+Hist!$H$54)/Hist!$H$19</f>
        <v>0.26290240611254229</v>
      </c>
      <c r="I41" s="18">
        <f>(Hist!$I$53+Hist!$I$54)/Hist!$I$19</f>
        <v>0.26930760115117658</v>
      </c>
      <c r="J41" s="2"/>
      <c r="K41" s="2"/>
      <c r="L41" s="2"/>
      <c r="M41" s="9" t="s">
        <v>130</v>
      </c>
    </row>
    <row r="42" spans="1:13" x14ac:dyDescent="0.2">
      <c r="A42" s="7" t="s">
        <v>198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</row>
    <row r="43" spans="1:13" x14ac:dyDescent="0.2">
      <c r="A43" s="3" t="s">
        <v>199</v>
      </c>
      <c r="B43" s="9" t="s">
        <v>56</v>
      </c>
      <c r="C43" s="11">
        <f>Hist!$C$50+Hist!$C$51+Hist!$C$52</f>
        <v>21896</v>
      </c>
      <c r="D43" s="11">
        <f>Hist!$D$50+Hist!$D$51+Hist!$D$52</f>
        <v>35211</v>
      </c>
      <c r="E43" s="11">
        <f>Hist!$E$50+Hist!$E$51+Hist!$E$52</f>
        <v>41286</v>
      </c>
      <c r="F43" s="11">
        <f>Hist!$F$50+Hist!$F$51+Hist!$F$52</f>
        <v>38718</v>
      </c>
      <c r="G43" s="11">
        <f>Hist!$G$50+Hist!$G$51+Hist!$G$52</f>
        <v>38344</v>
      </c>
      <c r="H43" s="11">
        <f>Hist!$H$50+Hist!$H$51+Hist!$H$52</f>
        <v>34866</v>
      </c>
      <c r="I43" s="11">
        <f>Hist!$I$50+Hist!$I$51+Hist!$I$52</f>
        <v>32094</v>
      </c>
      <c r="J43" s="11">
        <f>Hist!$J$50+Hist!$J$51+Hist!$J$52</f>
        <v>33985</v>
      </c>
      <c r="K43" s="11">
        <f>Hist!$K$50+Hist!$K$51+Hist!$K$52</f>
        <v>34742</v>
      </c>
      <c r="L43" s="11">
        <f>Hist!$L$50+Hist!$L$51+Hist!$L$52</f>
        <v>34742</v>
      </c>
      <c r="M43" s="9" t="s">
        <v>130</v>
      </c>
    </row>
    <row r="44" spans="1:13" x14ac:dyDescent="0.2">
      <c r="A44" s="3" t="s">
        <v>200</v>
      </c>
      <c r="B44" s="9" t="s">
        <v>56</v>
      </c>
      <c r="C44" s="11">
        <f>Hist!$C$48+Hist!$C$49</f>
        <v>4944</v>
      </c>
      <c r="D44" s="11">
        <f>Hist!$D$48+Hist!$D$49</f>
        <v>11683</v>
      </c>
      <c r="E44" s="11">
        <f>Hist!$E$48+Hist!$E$49</f>
        <v>18406</v>
      </c>
      <c r="F44" s="11">
        <f>Hist!$F$48+Hist!$F$49</f>
        <v>16414</v>
      </c>
      <c r="G44" s="11">
        <f>Hist!$G$48+Hist!$G$49</f>
        <v>14388</v>
      </c>
      <c r="H44" s="11">
        <f>Hist!$H$48+Hist!$H$49</f>
        <v>14475</v>
      </c>
      <c r="I44" s="11">
        <f>Hist!$I$48+Hist!$I$49</f>
        <v>12240</v>
      </c>
      <c r="J44" s="11">
        <f>Hist!$J$48+Hist!$J$49</f>
        <v>15616</v>
      </c>
      <c r="K44" s="11">
        <f>Hist!$K$48+Hist!$K$49</f>
        <v>16637</v>
      </c>
      <c r="L44" s="11">
        <f>Hist!$L$48+Hist!$L$49</f>
        <v>16637</v>
      </c>
      <c r="M44" s="9" t="s">
        <v>130</v>
      </c>
    </row>
    <row r="45" spans="1:13" x14ac:dyDescent="0.2">
      <c r="A45" s="3" t="s">
        <v>201</v>
      </c>
      <c r="B45" s="9" t="s">
        <v>56</v>
      </c>
      <c r="C45" s="11">
        <f>Metrics!$C$43-Metrics!$C$44</f>
        <v>16952</v>
      </c>
      <c r="D45" s="11">
        <f>Metrics!$D$43-Metrics!$D$44</f>
        <v>23528</v>
      </c>
      <c r="E45" s="11">
        <f>Metrics!$E$43-Metrics!$E$44</f>
        <v>22880</v>
      </c>
      <c r="F45" s="11">
        <f>Metrics!$F$43-Metrics!$F$44</f>
        <v>22304</v>
      </c>
      <c r="G45" s="11">
        <f>Metrics!$G$43-Metrics!$G$44</f>
        <v>23956</v>
      </c>
      <c r="H45" s="11">
        <f>Metrics!$H$43-Metrics!$H$44</f>
        <v>20391</v>
      </c>
      <c r="I45" s="11">
        <f>Metrics!$I$43-Metrics!$I$44</f>
        <v>19854</v>
      </c>
      <c r="J45" s="11">
        <f>Metrics!$J$43-Metrics!$J$44</f>
        <v>18369</v>
      </c>
      <c r="K45" s="11">
        <f>Metrics!$K$43-Metrics!$K$44</f>
        <v>18105</v>
      </c>
      <c r="L45" s="11">
        <f>Metrics!$L$43-Metrics!$L$44</f>
        <v>18105</v>
      </c>
      <c r="M45" s="9" t="s">
        <v>202</v>
      </c>
    </row>
    <row r="46" spans="1:13" x14ac:dyDescent="0.2">
      <c r="A46" s="3" t="s">
        <v>203</v>
      </c>
      <c r="B46" s="9" t="s">
        <v>192</v>
      </c>
      <c r="C46" s="14">
        <f>IF(Metrics!$C$30&gt;0,Metrics!$C$45/Metrics!$C$30,"н/п")</f>
        <v>2.3889515219842163</v>
      </c>
      <c r="D46" s="14" t="str">
        <f>IF(Metrics!$D$30&gt;0,Metrics!$D$45/Metrics!$D$30,"н/п")</f>
        <v>н/п</v>
      </c>
      <c r="E46" s="14" t="str">
        <f>IF(Metrics!$E$30&gt;0,Metrics!$E$45/Metrics!$E$30,"н/п")</f>
        <v>н/п</v>
      </c>
      <c r="F46" s="14">
        <f>IF(Metrics!$F$30&gt;0,Metrics!$F$45/Metrics!$F$30,"н/п")</f>
        <v>4.2892307692307696</v>
      </c>
      <c r="G46" s="14">
        <f>IF(Metrics!$G$30&gt;0,Metrics!$G$45/Metrics!$G$30,"н/п")</f>
        <v>2.9448063921327599</v>
      </c>
      <c r="H46" s="14">
        <f>IF(Metrics!$H$30&gt;0,Metrics!$H$45/Metrics!$H$30,"н/п")</f>
        <v>2.4263445978105662</v>
      </c>
      <c r="I46" s="14">
        <f>IF(Metrics!$I$30&gt;0,Metrics!$I$45/Metrics!$I$30,"н/п")</f>
        <v>2.3840057636887608</v>
      </c>
      <c r="J46" s="2"/>
      <c r="K46" s="2"/>
      <c r="L46" s="14">
        <f>IF(Metrics!$L$30&gt;0,Metrics!$L$45/Metrics!$L$30,"н/п")</f>
        <v>2.3424763876310002</v>
      </c>
      <c r="M46" s="9" t="s">
        <v>130</v>
      </c>
    </row>
    <row r="47" spans="1:13" x14ac:dyDescent="0.2">
      <c r="A47" s="3" t="s">
        <v>204</v>
      </c>
      <c r="B47" s="9" t="s">
        <v>192</v>
      </c>
      <c r="C47" s="2"/>
      <c r="D47" s="2"/>
      <c r="E47" s="2"/>
      <c r="F47" s="2"/>
      <c r="G47" s="2"/>
      <c r="H47" s="2"/>
      <c r="I47" s="14">
        <f>Metrics!$I$45/Metrics!$I$31</f>
        <v>2.2133779264214049</v>
      </c>
      <c r="J47" s="2"/>
      <c r="K47" s="2"/>
      <c r="L47" s="14">
        <f>Metrics!$L$45/Metrics!$L$31</f>
        <v>2.1617910447761193</v>
      </c>
      <c r="M47" s="9" t="s">
        <v>130</v>
      </c>
    </row>
    <row r="48" spans="1:13" x14ac:dyDescent="0.2">
      <c r="A48" s="3" t="s">
        <v>205</v>
      </c>
      <c r="B48" s="9" t="s">
        <v>192</v>
      </c>
      <c r="C48" s="14">
        <f>IF(Hist!$C$42&gt;0,Metrics!$C$45/Hist!$C$42,"н/п")</f>
        <v>2.4536112317267333</v>
      </c>
      <c r="D48" s="14" t="str">
        <f>IF(Hist!$D$42&gt;0,Metrics!$D$45/Hist!$D$42,"н/п")</f>
        <v>н/п</v>
      </c>
      <c r="E48" s="14">
        <f>IF(Hist!$E$42&gt;0,Metrics!$E$45/Hist!$E$42,"н/п")</f>
        <v>11.069182389937106</v>
      </c>
      <c r="F48" s="14">
        <f>IF(Hist!$F$42&gt;0,Metrics!$F$45/Hist!$F$42,"н/п")</f>
        <v>3.6768875700626444</v>
      </c>
      <c r="G48" s="14">
        <f>IF(Hist!$G$42&gt;0,Metrics!$G$45/Hist!$G$42,"н/п")</f>
        <v>3.4663579800318334</v>
      </c>
      <c r="H48" s="14">
        <f>IF(Hist!$H$42&gt;0,Metrics!$H$45/Hist!$H$42,"н/п")</f>
        <v>2.1589200635256751</v>
      </c>
      <c r="I48" s="14">
        <f>IF(Hist!$I$42&gt;0,Metrics!$I$45/Hist!$I$42,"н/п")</f>
        <v>2.3548807970584749</v>
      </c>
      <c r="J48" s="2"/>
      <c r="K48" s="2"/>
      <c r="L48" s="14">
        <f>IF(Hist!$L$42&gt;0,Metrics!$L$45/Hist!$L$42,"н/п")</f>
        <v>2.0313025917199594</v>
      </c>
      <c r="M48" s="9" t="s">
        <v>130</v>
      </c>
    </row>
    <row r="49" spans="1:13" x14ac:dyDescent="0.2">
      <c r="A49" s="3" t="s">
        <v>206</v>
      </c>
      <c r="B49" s="9" t="s">
        <v>192</v>
      </c>
      <c r="C49" s="2"/>
      <c r="D49" s="2"/>
      <c r="E49" s="2"/>
      <c r="F49" s="14">
        <f>Metrics!$F$45/Metrics!$F$39</f>
        <v>4.9874776386404296</v>
      </c>
      <c r="G49" s="14">
        <f>Metrics!$G$45/Metrics!$G$39</f>
        <v>3.2843432958596108</v>
      </c>
      <c r="H49" s="14">
        <f>Metrics!$H$45/Metrics!$H$39</f>
        <v>2.4597104945717732</v>
      </c>
      <c r="I49" s="14">
        <f>Metrics!$I$45/Metrics!$I$39</f>
        <v>2.6384053156146181</v>
      </c>
      <c r="J49" s="2"/>
      <c r="K49" s="2"/>
      <c r="L49" s="2"/>
      <c r="M49" s="9" t="s">
        <v>130</v>
      </c>
    </row>
    <row r="50" spans="1:13" x14ac:dyDescent="0.2">
      <c r="A50" s="3" t="s">
        <v>207</v>
      </c>
      <c r="B50" s="9" t="s">
        <v>192</v>
      </c>
      <c r="C50" s="14">
        <f>Hist!$C$31/Hist!$C$32</f>
        <v>6.2202462380300956</v>
      </c>
      <c r="D50" s="14">
        <f>Hist!$D$31/Hist!$D$32</f>
        <v>-8.443085606773284</v>
      </c>
      <c r="E50" s="14">
        <f>Hist!$E$31/Hist!$E$32</f>
        <v>-2.6487628243814121</v>
      </c>
      <c r="F50" s="14">
        <f>Hist!$F$31/Hist!$F$32</f>
        <v>1.3931383577052869</v>
      </c>
      <c r="G50" s="14">
        <f>Hist!$G$31/Hist!$G$32</f>
        <v>2.6380368098159508</v>
      </c>
      <c r="H50" s="14">
        <f>Hist!$H$31/Hist!$H$32</f>
        <v>3.1970534069981582</v>
      </c>
      <c r="I50" s="14">
        <f>Hist!$I$31/Hist!$I$32</f>
        <v>3.6212672978878366</v>
      </c>
      <c r="J50" s="2"/>
      <c r="K50" s="2"/>
      <c r="L50" s="14">
        <f>Hist!$L$31/Hist!$L$32</f>
        <v>3.2119155354449473</v>
      </c>
      <c r="M50" s="9" t="s">
        <v>130</v>
      </c>
    </row>
    <row r="51" spans="1:13" x14ac:dyDescent="0.2">
      <c r="A51" s="3" t="s">
        <v>208</v>
      </c>
      <c r="B51" s="9" t="s">
        <v>192</v>
      </c>
      <c r="C51" s="14">
        <f>Metrics!$C$30/(Hist!$C$32+Hist!$C$27)</f>
        <v>6.9636898920510308</v>
      </c>
      <c r="D51" s="14">
        <f>Metrics!$D$30/(Hist!$D$32+Hist!$D$27)</f>
        <v>-4.942109436954798</v>
      </c>
      <c r="E51" s="14">
        <f>Metrics!$E$30/(Hist!$E$32+Hist!$E$27)</f>
        <v>-0.82493368700265257</v>
      </c>
      <c r="F51" s="14">
        <f>Metrics!$F$30/(Hist!$F$32+Hist!$F$27)</f>
        <v>2.5615763546798029</v>
      </c>
      <c r="G51" s="14">
        <f>Metrics!$G$30/(Hist!$G$32+Hist!$G$27)</f>
        <v>3.7784486762656759</v>
      </c>
      <c r="H51" s="14">
        <f>Metrics!$H$30/(Hist!$H$32+Hist!$H$27)</f>
        <v>4.6125137211855103</v>
      </c>
      <c r="I51" s="14">
        <f>Metrics!$I$30/(Hist!$I$32+Hist!$I$27)</f>
        <v>5.1249230769230767</v>
      </c>
      <c r="J51" s="2"/>
      <c r="K51" s="2"/>
      <c r="L51" s="14">
        <f>Metrics!$L$30/(Hist!$L$32+Hist!$L$27)</f>
        <v>4.6700906344410873</v>
      </c>
      <c r="M51" s="9" t="s">
        <v>130</v>
      </c>
    </row>
    <row r="52" spans="1:13" x14ac:dyDescent="0.2">
      <c r="A52" s="3" t="s">
        <v>209</v>
      </c>
      <c r="B52" s="9" t="s">
        <v>150</v>
      </c>
      <c r="C52" s="18">
        <f>Hist!$C$58/Hist!$C$55</f>
        <v>0.2191746973066469</v>
      </c>
      <c r="D52" s="18">
        <f>Hist!$D$58/Hist!$D$55</f>
        <v>0.1000873245113186</v>
      </c>
      <c r="E52" s="18">
        <f>Hist!$E$58/Hist!$E$55</f>
        <v>7.3766043270993772E-2</v>
      </c>
      <c r="F52" s="18">
        <f>Hist!$F$58/Hist!$F$55</f>
        <v>0.10237833664895038</v>
      </c>
      <c r="G52" s="18">
        <f>Hist!$G$58/Hist!$G$55</f>
        <v>0.13113186318631864</v>
      </c>
      <c r="H52" s="18">
        <f>Hist!$H$58/Hist!$H$55</f>
        <v>0.17109188342804693</v>
      </c>
      <c r="I52" s="18">
        <f>Hist!$I$58/Hist!$I$55</f>
        <v>0.19990058601925492</v>
      </c>
      <c r="J52" s="2"/>
      <c r="K52" s="18">
        <f>Hist!$K$58/Hist!$K$55</f>
        <v>0.19743641286996416</v>
      </c>
      <c r="L52" s="2"/>
      <c r="M52" s="9" t="s">
        <v>130</v>
      </c>
    </row>
    <row r="53" spans="1:13" x14ac:dyDescent="0.2">
      <c r="A53" s="7" t="s">
        <v>210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</row>
    <row r="54" spans="1:13" x14ac:dyDescent="0.2">
      <c r="A54" s="3" t="s">
        <v>211</v>
      </c>
      <c r="B54" s="9" t="s">
        <v>150</v>
      </c>
      <c r="C54" s="2"/>
      <c r="D54" s="2"/>
      <c r="E54" s="2"/>
      <c r="F54" s="2"/>
      <c r="G54" s="2"/>
      <c r="H54" s="2"/>
      <c r="I54" s="19">
        <f>AVERAGE(Metrics!$C$27,Metrics!$F$27,Metrics!$G$27,Metrics!$H$27,Metrics!$I$27)</f>
        <v>8.634169268798178E-2</v>
      </c>
      <c r="J54" s="2"/>
      <c r="K54" s="2"/>
      <c r="L54" s="2"/>
      <c r="M54" s="9" t="s">
        <v>212</v>
      </c>
    </row>
    <row r="55" spans="1:13" x14ac:dyDescent="0.2">
      <c r="A55" s="3" t="s">
        <v>213</v>
      </c>
      <c r="B55" s="9" t="s">
        <v>150</v>
      </c>
      <c r="C55" s="2"/>
      <c r="D55" s="2"/>
      <c r="E55" s="2"/>
      <c r="F55" s="2"/>
      <c r="G55" s="2"/>
      <c r="H55" s="2"/>
      <c r="I55" s="18">
        <f>AVERAGE(Metrics!$C$27,Metrics!$G$27,Metrics!$H$27,Metrics!$I$27)</f>
        <v>9.4152229862869002E-2</v>
      </c>
      <c r="J55" s="2"/>
      <c r="K55" s="2"/>
      <c r="L55" s="2"/>
      <c r="M55" s="9" t="s">
        <v>214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4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6" customWidth="1"/>
    <col min="2" max="2" width="9" customWidth="1"/>
    <col min="3" max="9" width="11" customWidth="1"/>
    <col min="10" max="10" width="70" customWidth="1"/>
  </cols>
  <sheetData>
    <row r="1" spans="1:10" ht="16" x14ac:dyDescent="0.2">
      <c r="A1" s="1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2">
      <c r="A3" s="5" t="s">
        <v>216</v>
      </c>
      <c r="B3" s="5" t="s">
        <v>22</v>
      </c>
      <c r="C3" s="6" t="s">
        <v>217</v>
      </c>
      <c r="D3" s="6" t="s">
        <v>218</v>
      </c>
      <c r="E3" s="6" t="s">
        <v>219</v>
      </c>
      <c r="F3" s="6" t="s">
        <v>220</v>
      </c>
      <c r="G3" s="6" t="s">
        <v>221</v>
      </c>
      <c r="H3" s="6" t="s">
        <v>222</v>
      </c>
      <c r="I3" s="6" t="s">
        <v>223</v>
      </c>
      <c r="J3" s="6" t="s">
        <v>224</v>
      </c>
    </row>
    <row r="4" spans="1:10" x14ac:dyDescent="0.2">
      <c r="A4" s="7" t="s">
        <v>225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3" t="s">
        <v>226</v>
      </c>
      <c r="B5" s="9" t="s">
        <v>91</v>
      </c>
      <c r="C5" s="12">
        <v>103.23</v>
      </c>
      <c r="D5" s="2"/>
      <c r="E5" s="2"/>
      <c r="F5" s="2"/>
      <c r="G5" s="2"/>
      <c r="H5" s="2"/>
      <c r="I5" s="2"/>
      <c r="J5" s="9" t="s">
        <v>227</v>
      </c>
    </row>
    <row r="6" spans="1:10" x14ac:dyDescent="0.2">
      <c r="A6" s="3" t="s">
        <v>228</v>
      </c>
      <c r="B6" s="9" t="s">
        <v>36</v>
      </c>
      <c r="C6" s="13">
        <v>326.60000000000002</v>
      </c>
      <c r="D6" s="2"/>
      <c r="E6" s="2"/>
      <c r="F6" s="2"/>
      <c r="G6" s="2"/>
      <c r="H6" s="2"/>
      <c r="I6" s="2"/>
      <c r="J6" s="9" t="s">
        <v>229</v>
      </c>
    </row>
    <row r="7" spans="1:10" x14ac:dyDescent="0.2">
      <c r="A7" s="3" t="s">
        <v>230</v>
      </c>
      <c r="B7" s="9" t="s">
        <v>150</v>
      </c>
      <c r="C7" s="20">
        <v>5.2400000000000002E-2</v>
      </c>
      <c r="D7" s="2"/>
      <c r="E7" s="2"/>
      <c r="F7" s="2"/>
      <c r="G7" s="2"/>
      <c r="H7" s="2"/>
      <c r="I7" s="2"/>
      <c r="J7" s="9" t="s">
        <v>231</v>
      </c>
    </row>
    <row r="8" spans="1:10" x14ac:dyDescent="0.2">
      <c r="A8" s="3" t="s">
        <v>232</v>
      </c>
      <c r="B8" s="9" t="s">
        <v>150</v>
      </c>
      <c r="C8" s="20">
        <v>0.05</v>
      </c>
      <c r="D8" s="2"/>
      <c r="E8" s="2"/>
      <c r="F8" s="2"/>
      <c r="G8" s="2"/>
      <c r="H8" s="2"/>
      <c r="I8" s="2"/>
      <c r="J8" s="9" t="s">
        <v>233</v>
      </c>
    </row>
    <row r="9" spans="1:10" x14ac:dyDescent="0.2">
      <c r="A9" s="3" t="s">
        <v>234</v>
      </c>
      <c r="B9" s="9" t="s">
        <v>150</v>
      </c>
      <c r="C9" s="20">
        <v>6.5000000000000002E-2</v>
      </c>
      <c r="D9" s="2"/>
      <c r="E9" s="2"/>
      <c r="F9" s="2"/>
      <c r="G9" s="2"/>
      <c r="H9" s="2"/>
      <c r="I9" s="2"/>
      <c r="J9" s="9" t="s">
        <v>235</v>
      </c>
    </row>
    <row r="10" spans="1:10" x14ac:dyDescent="0.2">
      <c r="A10" s="3" t="s">
        <v>236</v>
      </c>
      <c r="B10" s="9" t="s">
        <v>150</v>
      </c>
      <c r="C10" s="17">
        <v>0.22</v>
      </c>
      <c r="D10" s="2"/>
      <c r="E10" s="2"/>
      <c r="F10" s="2"/>
      <c r="G10" s="2"/>
      <c r="H10" s="2"/>
      <c r="I10" s="2"/>
      <c r="J10" s="9" t="s">
        <v>237</v>
      </c>
    </row>
    <row r="11" spans="1:10" x14ac:dyDescent="0.2">
      <c r="A11" s="3" t="s">
        <v>238</v>
      </c>
      <c r="B11" s="9" t="s">
        <v>56</v>
      </c>
      <c r="C11" s="10">
        <v>2000</v>
      </c>
      <c r="D11" s="2"/>
      <c r="E11" s="2"/>
      <c r="F11" s="2"/>
      <c r="G11" s="2"/>
      <c r="H11" s="2"/>
      <c r="I11" s="2"/>
      <c r="J11" s="9" t="s">
        <v>239</v>
      </c>
    </row>
    <row r="12" spans="1:10" x14ac:dyDescent="0.2">
      <c r="A12" s="3" t="s">
        <v>240</v>
      </c>
      <c r="B12" s="9" t="s">
        <v>56</v>
      </c>
      <c r="C12" s="11">
        <f>Hist!$K$45+Hist!$K$33*(1-Assumptions!$C$10)</f>
        <v>3437.94</v>
      </c>
      <c r="D12" s="2"/>
      <c r="E12" s="2"/>
      <c r="F12" s="2"/>
      <c r="G12" s="2"/>
      <c r="H12" s="2"/>
      <c r="I12" s="2"/>
      <c r="J12" s="9" t="s">
        <v>241</v>
      </c>
    </row>
    <row r="13" spans="1:10" x14ac:dyDescent="0.2">
      <c r="A13" s="3" t="s">
        <v>242</v>
      </c>
      <c r="B13" s="9" t="s">
        <v>150</v>
      </c>
      <c r="C13" s="21">
        <v>0.5</v>
      </c>
      <c r="D13" s="2"/>
      <c r="E13" s="2"/>
      <c r="F13" s="2"/>
      <c r="G13" s="2"/>
      <c r="H13" s="2"/>
      <c r="I13" s="2"/>
      <c r="J13" s="9" t="s">
        <v>243</v>
      </c>
    </row>
    <row r="14" spans="1:10" x14ac:dyDescent="0.2">
      <c r="A14" s="7" t="s">
        <v>244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 x14ac:dyDescent="0.2">
      <c r="A15" s="3" t="s">
        <v>245</v>
      </c>
      <c r="B15" s="9" t="s">
        <v>150</v>
      </c>
      <c r="C15" s="17">
        <v>-0.01</v>
      </c>
      <c r="D15" s="17">
        <v>-0.01</v>
      </c>
      <c r="E15" s="17">
        <v>-0.01</v>
      </c>
      <c r="F15" s="17">
        <v>-0.01</v>
      </c>
      <c r="G15" s="17">
        <v>-0.01</v>
      </c>
      <c r="H15" s="17">
        <v>-0.01</v>
      </c>
      <c r="I15" s="17">
        <v>-0.01</v>
      </c>
      <c r="J15" s="9" t="s">
        <v>246</v>
      </c>
    </row>
    <row r="16" spans="1:10" x14ac:dyDescent="0.2">
      <c r="A16" s="3" t="s">
        <v>247</v>
      </c>
      <c r="B16" s="9" t="s">
        <v>248</v>
      </c>
      <c r="C16" s="20">
        <v>4.4999999999999997E-3</v>
      </c>
      <c r="D16" s="20">
        <v>4.4999999999999997E-3</v>
      </c>
      <c r="E16" s="20">
        <v>4.4999999999999997E-3</v>
      </c>
      <c r="F16" s="20">
        <v>4.4999999999999997E-3</v>
      </c>
      <c r="G16" s="20">
        <v>4.4999999999999997E-3</v>
      </c>
      <c r="H16" s="20">
        <v>4.4999999999999997E-3</v>
      </c>
      <c r="I16" s="20">
        <v>4.4999999999999997E-3</v>
      </c>
      <c r="J16" s="9" t="s">
        <v>249</v>
      </c>
    </row>
    <row r="17" spans="1:10" x14ac:dyDescent="0.2">
      <c r="A17" s="3" t="s">
        <v>250</v>
      </c>
      <c r="B17" s="9" t="s">
        <v>251</v>
      </c>
      <c r="C17" s="17">
        <v>0.12</v>
      </c>
      <c r="D17" s="17">
        <v>0.12</v>
      </c>
      <c r="E17" s="17">
        <v>0.12</v>
      </c>
      <c r="F17" s="17">
        <v>0.12</v>
      </c>
      <c r="G17" s="17">
        <v>0.12</v>
      </c>
      <c r="H17" s="17">
        <v>0.12</v>
      </c>
      <c r="I17" s="17">
        <v>0.12</v>
      </c>
      <c r="J17" s="9" t="s">
        <v>252</v>
      </c>
    </row>
    <row r="18" spans="1:10" x14ac:dyDescent="0.2">
      <c r="A18" s="3" t="s">
        <v>253</v>
      </c>
      <c r="B18" s="9" t="s">
        <v>248</v>
      </c>
      <c r="C18" s="17">
        <v>4.8000000000000001E-2</v>
      </c>
      <c r="D18" s="17">
        <v>4.8000000000000001E-2</v>
      </c>
      <c r="E18" s="17">
        <v>4.8000000000000001E-2</v>
      </c>
      <c r="F18" s="17">
        <v>4.8000000000000001E-2</v>
      </c>
      <c r="G18" s="17">
        <v>4.8000000000000001E-2</v>
      </c>
      <c r="H18" s="17">
        <v>4.8000000000000001E-2</v>
      </c>
      <c r="I18" s="17">
        <v>4.8000000000000001E-2</v>
      </c>
      <c r="J18" s="9" t="s">
        <v>254</v>
      </c>
    </row>
    <row r="19" spans="1:10" x14ac:dyDescent="0.2">
      <c r="A19" s="3" t="s">
        <v>255</v>
      </c>
      <c r="B19" s="9" t="s">
        <v>248</v>
      </c>
      <c r="C19" s="20">
        <v>1.55E-2</v>
      </c>
      <c r="D19" s="20">
        <v>1.55E-2</v>
      </c>
      <c r="E19" s="20">
        <v>1.55E-2</v>
      </c>
      <c r="F19" s="20">
        <v>1.55E-2</v>
      </c>
      <c r="G19" s="20">
        <v>1.55E-2</v>
      </c>
      <c r="H19" s="20">
        <v>1.55E-2</v>
      </c>
      <c r="I19" s="20">
        <v>1.55E-2</v>
      </c>
      <c r="J19" s="9" t="s">
        <v>256</v>
      </c>
    </row>
    <row r="20" spans="1:10" x14ac:dyDescent="0.2">
      <c r="A20" s="3" t="s">
        <v>257</v>
      </c>
      <c r="B20" s="9" t="s">
        <v>150</v>
      </c>
      <c r="C20" s="17">
        <v>6.5000000000000002E-2</v>
      </c>
      <c r="D20" s="2"/>
      <c r="E20" s="2"/>
      <c r="F20" s="2"/>
      <c r="G20" s="2"/>
      <c r="H20" s="2"/>
      <c r="I20" s="2"/>
      <c r="J20" s="9" t="s">
        <v>258</v>
      </c>
    </row>
    <row r="21" spans="1:10" x14ac:dyDescent="0.2">
      <c r="A21" s="3" t="s">
        <v>259</v>
      </c>
      <c r="B21" s="9" t="s">
        <v>260</v>
      </c>
      <c r="C21" s="21">
        <v>0.1</v>
      </c>
      <c r="D21" s="21">
        <v>0.1</v>
      </c>
      <c r="E21" s="21">
        <v>0.1</v>
      </c>
      <c r="F21" s="21">
        <v>0.1</v>
      </c>
      <c r="G21" s="21">
        <v>0.1</v>
      </c>
      <c r="H21" s="21">
        <v>0.1</v>
      </c>
      <c r="I21" s="21">
        <v>0.1</v>
      </c>
      <c r="J21" s="9" t="s">
        <v>261</v>
      </c>
    </row>
    <row r="22" spans="1:10" x14ac:dyDescent="0.2">
      <c r="A22" s="3" t="s">
        <v>262</v>
      </c>
      <c r="B22" s="9" t="s">
        <v>56</v>
      </c>
      <c r="C22" s="10">
        <v>550</v>
      </c>
      <c r="D22" s="10">
        <v>550</v>
      </c>
      <c r="E22" s="10">
        <v>550</v>
      </c>
      <c r="F22" s="10">
        <v>550</v>
      </c>
      <c r="G22" s="10">
        <v>550</v>
      </c>
      <c r="H22" s="10">
        <v>550</v>
      </c>
      <c r="I22" s="10">
        <v>550</v>
      </c>
      <c r="J22" s="9" t="s">
        <v>263</v>
      </c>
    </row>
    <row r="23" spans="1:10" x14ac:dyDescent="0.2">
      <c r="A23" s="3" t="s">
        <v>264</v>
      </c>
      <c r="B23" s="9" t="s">
        <v>56</v>
      </c>
      <c r="C23" s="10">
        <v>7500</v>
      </c>
      <c r="D23" s="2"/>
      <c r="E23" s="2"/>
      <c r="F23" s="2"/>
      <c r="G23" s="2"/>
      <c r="H23" s="2"/>
      <c r="I23" s="2"/>
      <c r="J23" s="9" t="s">
        <v>265</v>
      </c>
    </row>
    <row r="24" spans="1:10" x14ac:dyDescent="0.2">
      <c r="A24" s="3" t="s">
        <v>266</v>
      </c>
      <c r="B24" s="9" t="s">
        <v>150</v>
      </c>
      <c r="C24" s="17">
        <v>2.5000000000000001E-2</v>
      </c>
      <c r="D24" s="2"/>
      <c r="E24" s="2"/>
      <c r="F24" s="2"/>
      <c r="G24" s="2"/>
      <c r="H24" s="2"/>
      <c r="I24" s="2"/>
      <c r="J24" s="9" t="s">
        <v>267</v>
      </c>
    </row>
    <row r="25" spans="1:10" x14ac:dyDescent="0.2">
      <c r="A25" s="3" t="s">
        <v>268</v>
      </c>
      <c r="B25" s="9" t="s">
        <v>150</v>
      </c>
      <c r="C25" s="17">
        <v>0.1</v>
      </c>
      <c r="D25" s="2"/>
      <c r="E25" s="2"/>
      <c r="F25" s="2"/>
      <c r="G25" s="2"/>
      <c r="H25" s="2"/>
      <c r="I25" s="2"/>
      <c r="J25" s="9" t="s">
        <v>269</v>
      </c>
    </row>
    <row r="26" spans="1:10" x14ac:dyDescent="0.2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">
      <c r="A27" s="7" t="s">
        <v>270</v>
      </c>
      <c r="B27" s="8"/>
      <c r="C27" s="8"/>
      <c r="D27" s="8"/>
      <c r="E27" s="8"/>
      <c r="F27" s="8"/>
      <c r="G27" s="8"/>
      <c r="H27" s="8"/>
      <c r="I27" s="8"/>
      <c r="J27" s="8"/>
    </row>
    <row r="28" spans="1:10" x14ac:dyDescent="0.2">
      <c r="A28" s="3" t="s">
        <v>271</v>
      </c>
      <c r="B28" s="9" t="s">
        <v>150</v>
      </c>
      <c r="C28" s="17">
        <v>2.5000000000000001E-2</v>
      </c>
      <c r="D28" s="17">
        <v>-0.02</v>
      </c>
      <c r="E28" s="17">
        <v>0.02</v>
      </c>
      <c r="F28" s="17">
        <v>0.04</v>
      </c>
      <c r="G28" s="17">
        <v>0.04</v>
      </c>
      <c r="H28" s="17">
        <v>3.5000000000000003E-2</v>
      </c>
      <c r="I28" s="17">
        <v>0.03</v>
      </c>
      <c r="J28" s="9" t="s">
        <v>272</v>
      </c>
    </row>
    <row r="29" spans="1:10" x14ac:dyDescent="0.2">
      <c r="A29" s="3" t="s">
        <v>273</v>
      </c>
      <c r="B29" s="9" t="s">
        <v>150</v>
      </c>
      <c r="C29" s="17">
        <v>2.5000000000000001E-2</v>
      </c>
      <c r="D29" s="17">
        <v>-0.05</v>
      </c>
      <c r="E29" s="17">
        <v>0.05</v>
      </c>
      <c r="F29" s="17">
        <v>4.4999999999999998E-2</v>
      </c>
      <c r="G29" s="17">
        <v>3.5000000000000003E-2</v>
      </c>
      <c r="H29" s="17">
        <v>2.7E-2</v>
      </c>
      <c r="I29" s="17">
        <v>2.7E-2</v>
      </c>
      <c r="J29" s="9" t="s">
        <v>272</v>
      </c>
    </row>
    <row r="30" spans="1:10" x14ac:dyDescent="0.2">
      <c r="A30" s="3" t="s">
        <v>274</v>
      </c>
      <c r="B30" s="9" t="s">
        <v>275</v>
      </c>
      <c r="C30" s="21">
        <v>0.8</v>
      </c>
      <c r="D30" s="21">
        <v>0.6</v>
      </c>
      <c r="E30" s="21">
        <v>1</v>
      </c>
      <c r="F30" s="21">
        <v>1</v>
      </c>
      <c r="G30" s="21">
        <v>1</v>
      </c>
      <c r="H30" s="21">
        <v>1</v>
      </c>
      <c r="I30" s="21">
        <v>1</v>
      </c>
      <c r="J30" s="9" t="s">
        <v>272</v>
      </c>
    </row>
    <row r="31" spans="1:10" x14ac:dyDescent="0.2">
      <c r="A31" s="3" t="s">
        <v>276</v>
      </c>
      <c r="B31" s="9" t="s">
        <v>150</v>
      </c>
      <c r="C31" s="17">
        <v>5.5E-2</v>
      </c>
      <c r="D31" s="17">
        <v>3.5000000000000003E-2</v>
      </c>
      <c r="E31" s="17">
        <v>0.01</v>
      </c>
      <c r="F31" s="17">
        <v>1.4999999999999999E-2</v>
      </c>
      <c r="G31" s="17">
        <v>0.02</v>
      </c>
      <c r="H31" s="17">
        <v>2.7E-2</v>
      </c>
      <c r="I31" s="17">
        <v>2.7E-2</v>
      </c>
      <c r="J31" s="9" t="s">
        <v>272</v>
      </c>
    </row>
    <row r="32" spans="1:10" x14ac:dyDescent="0.2">
      <c r="A32" s="3" t="s">
        <v>277</v>
      </c>
      <c r="B32" s="9" t="s">
        <v>148</v>
      </c>
      <c r="C32" s="12">
        <v>3.97</v>
      </c>
      <c r="D32" s="12">
        <v>4.0999999999999996</v>
      </c>
      <c r="E32" s="12">
        <v>3.4</v>
      </c>
      <c r="F32" s="12">
        <v>3.1</v>
      </c>
      <c r="G32" s="12">
        <v>3.1</v>
      </c>
      <c r="H32" s="12">
        <v>3.1</v>
      </c>
      <c r="I32" s="12">
        <v>3.1</v>
      </c>
      <c r="J32" s="9" t="s">
        <v>272</v>
      </c>
    </row>
    <row r="33" spans="1:10" x14ac:dyDescent="0.2">
      <c r="A33" s="3" t="s">
        <v>278</v>
      </c>
      <c r="B33" s="9" t="s">
        <v>248</v>
      </c>
      <c r="C33" s="2"/>
      <c r="D33" s="17">
        <v>0.08</v>
      </c>
      <c r="E33" s="17">
        <v>0.08</v>
      </c>
      <c r="F33" s="17">
        <v>0.09</v>
      </c>
      <c r="G33" s="17">
        <v>0.1</v>
      </c>
      <c r="H33" s="17">
        <v>0.1</v>
      </c>
      <c r="I33" s="17">
        <v>0.1</v>
      </c>
      <c r="J33" s="9" t="s">
        <v>272</v>
      </c>
    </row>
    <row r="34" spans="1:10" x14ac:dyDescent="0.2">
      <c r="A34" s="7" t="s">
        <v>279</v>
      </c>
      <c r="B34" s="8"/>
      <c r="C34" s="8"/>
      <c r="D34" s="8"/>
      <c r="E34" s="8"/>
      <c r="F34" s="8"/>
      <c r="G34" s="8"/>
      <c r="H34" s="8"/>
      <c r="I34" s="8"/>
      <c r="J34" s="8"/>
    </row>
    <row r="35" spans="1:10" x14ac:dyDescent="0.2">
      <c r="A35" s="3" t="s">
        <v>271</v>
      </c>
      <c r="B35" s="9" t="s">
        <v>150</v>
      </c>
      <c r="C35" s="17">
        <v>2.5000000000000001E-2</v>
      </c>
      <c r="D35" s="17">
        <v>0.04</v>
      </c>
      <c r="E35" s="17">
        <v>0.05</v>
      </c>
      <c r="F35" s="17">
        <v>0.05</v>
      </c>
      <c r="G35" s="17">
        <v>4.4999999999999998E-2</v>
      </c>
      <c r="H35" s="17">
        <v>0.04</v>
      </c>
      <c r="I35" s="17">
        <v>3.5000000000000003E-2</v>
      </c>
      <c r="J35" s="9" t="s">
        <v>280</v>
      </c>
    </row>
    <row r="36" spans="1:10" x14ac:dyDescent="0.2">
      <c r="A36" s="3" t="s">
        <v>273</v>
      </c>
      <c r="B36" s="9" t="s">
        <v>150</v>
      </c>
      <c r="C36" s="17">
        <v>2.5000000000000001E-2</v>
      </c>
      <c r="D36" s="17">
        <v>0.02</v>
      </c>
      <c r="E36" s="17">
        <v>2.5000000000000001E-2</v>
      </c>
      <c r="F36" s="17">
        <v>2.5000000000000001E-2</v>
      </c>
      <c r="G36" s="17">
        <v>2.5000000000000001E-2</v>
      </c>
      <c r="H36" s="17">
        <v>2.5000000000000001E-2</v>
      </c>
      <c r="I36" s="17">
        <v>2.5000000000000001E-2</v>
      </c>
      <c r="J36" s="9" t="s">
        <v>281</v>
      </c>
    </row>
    <row r="37" spans="1:10" x14ac:dyDescent="0.2">
      <c r="A37" s="3" t="s">
        <v>274</v>
      </c>
      <c r="B37" s="9" t="s">
        <v>275</v>
      </c>
      <c r="C37" s="21">
        <v>0.8</v>
      </c>
      <c r="D37" s="21">
        <v>0.75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9" t="s">
        <v>282</v>
      </c>
    </row>
    <row r="38" spans="1:10" x14ac:dyDescent="0.2">
      <c r="A38" s="3" t="s">
        <v>276</v>
      </c>
      <c r="B38" s="9" t="s">
        <v>150</v>
      </c>
      <c r="C38" s="17">
        <v>5.5E-2</v>
      </c>
      <c r="D38" s="17">
        <v>2.5000000000000001E-2</v>
      </c>
      <c r="E38" s="17">
        <v>0.02</v>
      </c>
      <c r="F38" s="17">
        <v>2.3E-2</v>
      </c>
      <c r="G38" s="17">
        <v>2.7E-2</v>
      </c>
      <c r="H38" s="17">
        <v>2.7E-2</v>
      </c>
      <c r="I38" s="17">
        <v>2.7E-2</v>
      </c>
      <c r="J38" s="9" t="s">
        <v>283</v>
      </c>
    </row>
    <row r="39" spans="1:10" x14ac:dyDescent="0.2">
      <c r="A39" s="3" t="s">
        <v>277</v>
      </c>
      <c r="B39" s="9" t="s">
        <v>148</v>
      </c>
      <c r="C39" s="12">
        <v>3.97</v>
      </c>
      <c r="D39" s="12">
        <v>3.3</v>
      </c>
      <c r="E39" s="12">
        <v>3</v>
      </c>
      <c r="F39" s="12">
        <v>2.9</v>
      </c>
      <c r="G39" s="12">
        <v>2.9</v>
      </c>
      <c r="H39" s="12">
        <v>2.95</v>
      </c>
      <c r="I39" s="12">
        <v>3</v>
      </c>
      <c r="J39" s="9" t="s">
        <v>284</v>
      </c>
    </row>
    <row r="40" spans="1:10" x14ac:dyDescent="0.2">
      <c r="A40" s="3" t="s">
        <v>278</v>
      </c>
      <c r="B40" s="9" t="s">
        <v>248</v>
      </c>
      <c r="C40" s="2"/>
      <c r="D40" s="17">
        <v>0.115</v>
      </c>
      <c r="E40" s="17">
        <v>0.12</v>
      </c>
      <c r="F40" s="17">
        <v>0.12</v>
      </c>
      <c r="G40" s="17">
        <v>0.11</v>
      </c>
      <c r="H40" s="17">
        <v>0.105</v>
      </c>
      <c r="I40" s="17">
        <v>0.1</v>
      </c>
      <c r="J40" s="9" t="s">
        <v>285</v>
      </c>
    </row>
    <row r="41" spans="1:10" x14ac:dyDescent="0.2">
      <c r="A41" s="7" t="s">
        <v>286</v>
      </c>
      <c r="B41" s="8"/>
      <c r="C41" s="8"/>
      <c r="D41" s="8"/>
      <c r="E41" s="8"/>
      <c r="F41" s="8"/>
      <c r="G41" s="8"/>
      <c r="H41" s="8"/>
      <c r="I41" s="8"/>
      <c r="J41" s="8"/>
    </row>
    <row r="42" spans="1:10" x14ac:dyDescent="0.2">
      <c r="A42" s="3" t="s">
        <v>271</v>
      </c>
      <c r="B42" s="9" t="s">
        <v>150</v>
      </c>
      <c r="C42" s="17">
        <v>2.5000000000000001E-2</v>
      </c>
      <c r="D42" s="17">
        <v>0.05</v>
      </c>
      <c r="E42" s="17">
        <v>0.06</v>
      </c>
      <c r="F42" s="17">
        <v>0.06</v>
      </c>
      <c r="G42" s="17">
        <v>0.05</v>
      </c>
      <c r="H42" s="17">
        <v>4.4999999999999998E-2</v>
      </c>
      <c r="I42" s="17">
        <v>0.04</v>
      </c>
      <c r="J42" s="9" t="s">
        <v>272</v>
      </c>
    </row>
    <row r="43" spans="1:10" x14ac:dyDescent="0.2">
      <c r="A43" s="3" t="s">
        <v>273</v>
      </c>
      <c r="B43" s="9" t="s">
        <v>150</v>
      </c>
      <c r="C43" s="17">
        <v>2.5000000000000001E-2</v>
      </c>
      <c r="D43" s="17">
        <v>3.5000000000000003E-2</v>
      </c>
      <c r="E43" s="17">
        <v>0.03</v>
      </c>
      <c r="F43" s="17">
        <v>2.5000000000000001E-2</v>
      </c>
      <c r="G43" s="17">
        <v>2.5000000000000001E-2</v>
      </c>
      <c r="H43" s="17">
        <v>2.5000000000000001E-2</v>
      </c>
      <c r="I43" s="17">
        <v>2.5000000000000001E-2</v>
      </c>
      <c r="J43" s="9" t="s">
        <v>272</v>
      </c>
    </row>
    <row r="44" spans="1:10" x14ac:dyDescent="0.2">
      <c r="A44" s="3" t="s">
        <v>274</v>
      </c>
      <c r="B44" s="9" t="s">
        <v>275</v>
      </c>
      <c r="C44" s="21">
        <v>0.8</v>
      </c>
      <c r="D44" s="21">
        <v>0.6</v>
      </c>
      <c r="E44" s="21">
        <v>1</v>
      </c>
      <c r="F44" s="21">
        <v>1</v>
      </c>
      <c r="G44" s="21">
        <v>1</v>
      </c>
      <c r="H44" s="21">
        <v>1</v>
      </c>
      <c r="I44" s="21">
        <v>1</v>
      </c>
      <c r="J44" s="9" t="s">
        <v>272</v>
      </c>
    </row>
    <row r="45" spans="1:10" x14ac:dyDescent="0.2">
      <c r="A45" s="3" t="s">
        <v>276</v>
      </c>
      <c r="B45" s="9" t="s">
        <v>150</v>
      </c>
      <c r="C45" s="17">
        <v>5.5E-2</v>
      </c>
      <c r="D45" s="17">
        <v>0.02</v>
      </c>
      <c r="E45" s="17">
        <v>0.02</v>
      </c>
      <c r="F45" s="17">
        <v>2.5000000000000001E-2</v>
      </c>
      <c r="G45" s="17">
        <v>2.7E-2</v>
      </c>
      <c r="H45" s="17">
        <v>2.7E-2</v>
      </c>
      <c r="I45" s="17">
        <v>2.7E-2</v>
      </c>
      <c r="J45" s="9" t="s">
        <v>272</v>
      </c>
    </row>
    <row r="46" spans="1:10" x14ac:dyDescent="0.2">
      <c r="A46" s="3" t="s">
        <v>277</v>
      </c>
      <c r="B46" s="9" t="s">
        <v>148</v>
      </c>
      <c r="C46" s="12">
        <v>3.97</v>
      </c>
      <c r="D46" s="12">
        <v>2.9</v>
      </c>
      <c r="E46" s="12">
        <v>2.75</v>
      </c>
      <c r="F46" s="12">
        <v>2.7</v>
      </c>
      <c r="G46" s="12">
        <v>2.75</v>
      </c>
      <c r="H46" s="12">
        <v>2.8</v>
      </c>
      <c r="I46" s="12">
        <v>2.85</v>
      </c>
      <c r="J46" s="9" t="s">
        <v>272</v>
      </c>
    </row>
    <row r="47" spans="1:10" x14ac:dyDescent="0.2">
      <c r="A47" s="3" t="s">
        <v>278</v>
      </c>
      <c r="B47" s="9" t="s">
        <v>248</v>
      </c>
      <c r="C47" s="2"/>
      <c r="D47" s="17">
        <v>0.115</v>
      </c>
      <c r="E47" s="17">
        <v>0.12</v>
      </c>
      <c r="F47" s="17">
        <v>0.12</v>
      </c>
      <c r="G47" s="17">
        <v>0.11</v>
      </c>
      <c r="H47" s="17">
        <v>0.105</v>
      </c>
      <c r="I47" s="17">
        <v>0.1</v>
      </c>
      <c r="J47" s="9" t="s">
        <v>272</v>
      </c>
    </row>
    <row r="48" spans="1:10" x14ac:dyDescent="0.2">
      <c r="A48" s="7" t="s">
        <v>287</v>
      </c>
      <c r="B48" s="8"/>
      <c r="C48" s="8"/>
      <c r="D48" s="8"/>
      <c r="E48" s="8"/>
      <c r="F48" s="8"/>
      <c r="G48" s="8"/>
      <c r="H48" s="8"/>
      <c r="I48" s="8"/>
      <c r="J48" s="8"/>
    </row>
    <row r="49" spans="1:10" x14ac:dyDescent="0.2">
      <c r="A49" s="3" t="s">
        <v>288</v>
      </c>
      <c r="B49" s="9" t="s">
        <v>150</v>
      </c>
      <c r="C49" s="21">
        <v>0.25</v>
      </c>
      <c r="D49" s="2"/>
      <c r="E49" s="2"/>
      <c r="F49" s="2"/>
      <c r="G49" s="2"/>
      <c r="H49" s="2"/>
      <c r="I49" s="2"/>
      <c r="J49" s="9" t="s">
        <v>289</v>
      </c>
    </row>
    <row r="50" spans="1:10" x14ac:dyDescent="0.2">
      <c r="A50" s="3" t="s">
        <v>290</v>
      </c>
      <c r="B50" s="9" t="s">
        <v>150</v>
      </c>
      <c r="C50" s="21">
        <v>0.5</v>
      </c>
      <c r="D50" s="2"/>
      <c r="E50" s="2"/>
      <c r="F50" s="2"/>
      <c r="G50" s="2"/>
      <c r="H50" s="2"/>
      <c r="I50" s="2"/>
      <c r="J50" s="9" t="s">
        <v>291</v>
      </c>
    </row>
    <row r="51" spans="1:10" x14ac:dyDescent="0.2">
      <c r="A51" s="3" t="s">
        <v>292</v>
      </c>
      <c r="B51" s="9" t="s">
        <v>150</v>
      </c>
      <c r="C51" s="21">
        <v>0.25</v>
      </c>
      <c r="D51" s="2"/>
      <c r="E51" s="2"/>
      <c r="F51" s="2"/>
      <c r="G51" s="2"/>
      <c r="H51" s="2"/>
      <c r="I51" s="2"/>
      <c r="J51" s="9" t="s">
        <v>291</v>
      </c>
    </row>
    <row r="52" spans="1:10" x14ac:dyDescent="0.2">
      <c r="A52" s="3" t="s">
        <v>293</v>
      </c>
      <c r="B52" s="9" t="s">
        <v>150</v>
      </c>
      <c r="C52" s="22">
        <f>Assumptions!$C$49+Assumptions!$C$50+Assumptions!$C$51</f>
        <v>1</v>
      </c>
      <c r="D52" s="2"/>
      <c r="E52" s="2"/>
      <c r="F52" s="2"/>
      <c r="G52" s="2"/>
      <c r="H52" s="2"/>
      <c r="I52" s="2"/>
      <c r="J52" s="9" t="s">
        <v>294</v>
      </c>
    </row>
    <row r="53" spans="1:10" x14ac:dyDescent="0.2">
      <c r="A53" s="3" t="s">
        <v>295</v>
      </c>
      <c r="B53" s="9" t="s">
        <v>150</v>
      </c>
      <c r="C53" s="21">
        <v>0.15</v>
      </c>
      <c r="D53" s="2"/>
      <c r="E53" s="2"/>
      <c r="F53" s="2"/>
      <c r="G53" s="2"/>
      <c r="H53" s="2"/>
      <c r="I53" s="2"/>
      <c r="J53" s="9" t="s">
        <v>296</v>
      </c>
    </row>
    <row r="54" spans="1:10" x14ac:dyDescent="0.2">
      <c r="A54" s="3" t="s">
        <v>297</v>
      </c>
      <c r="B54" s="9" t="s">
        <v>150</v>
      </c>
      <c r="C54" s="21">
        <v>-0.1</v>
      </c>
      <c r="D54" s="2"/>
      <c r="E54" s="2"/>
      <c r="F54" s="2"/>
      <c r="G54" s="2"/>
      <c r="H54" s="2"/>
      <c r="I54" s="2"/>
      <c r="J54" s="9" t="s">
        <v>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4"/>
  <sheetViews>
    <sheetView workbookViewId="0"/>
  </sheetViews>
  <sheetFormatPr baseColWidth="10" defaultColWidth="8.83203125" defaultRowHeight="15" x14ac:dyDescent="0.2"/>
  <cols>
    <col min="1" max="5" width="16" customWidth="1"/>
    <col min="7" max="7" width="22" customWidth="1"/>
  </cols>
  <sheetData>
    <row r="1" spans="1:8" ht="16" x14ac:dyDescent="0.2">
      <c r="A1" s="1" t="s">
        <v>298</v>
      </c>
      <c r="B1" s="2"/>
      <c r="C1" s="2"/>
      <c r="D1" s="2"/>
      <c r="E1" s="2"/>
      <c r="F1" s="2"/>
      <c r="G1" s="2"/>
      <c r="H1" s="2"/>
    </row>
    <row r="2" spans="1:8" x14ac:dyDescent="0.2">
      <c r="A2" s="2"/>
      <c r="B2" s="2"/>
      <c r="C2" s="2"/>
      <c r="D2" s="2"/>
      <c r="E2" s="2"/>
      <c r="F2" s="2"/>
      <c r="G2" s="2"/>
      <c r="H2" s="2"/>
    </row>
    <row r="3" spans="1:8" x14ac:dyDescent="0.2">
      <c r="A3" s="23" t="s">
        <v>299</v>
      </c>
      <c r="B3" s="23" t="s">
        <v>300</v>
      </c>
      <c r="C3" s="23" t="s">
        <v>301</v>
      </c>
      <c r="D3" s="23" t="s">
        <v>302</v>
      </c>
      <c r="E3" s="23" t="s">
        <v>303</v>
      </c>
      <c r="F3" s="2"/>
      <c r="G3" s="4" t="s">
        <v>304</v>
      </c>
      <c r="H3" s="24">
        <f>SLOPE(D5:D64,E5:E64)</f>
        <v>1.3605204082960316</v>
      </c>
    </row>
    <row r="4" spans="1:8" x14ac:dyDescent="0.2">
      <c r="A4" s="25" t="s">
        <v>305</v>
      </c>
      <c r="B4" s="25">
        <v>46.14</v>
      </c>
      <c r="C4" s="25">
        <v>4605.38</v>
      </c>
      <c r="D4" s="2"/>
      <c r="E4" s="2"/>
      <c r="F4" s="2"/>
      <c r="G4" s="4" t="s">
        <v>306</v>
      </c>
      <c r="H4" s="24">
        <f>0.67*H3+0.33</f>
        <v>1.2415486735583412</v>
      </c>
    </row>
    <row r="5" spans="1:8" x14ac:dyDescent="0.2">
      <c r="A5" s="25" t="s">
        <v>307</v>
      </c>
      <c r="B5" s="25">
        <v>42.26</v>
      </c>
      <c r="C5" s="25">
        <v>4567</v>
      </c>
      <c r="D5" s="26">
        <f t="shared" ref="D5:D36" si="0">B5/B4-1</f>
        <v>-8.4091894234937237E-2</v>
      </c>
      <c r="E5" s="26">
        <f t="shared" ref="E5:E36" si="1">C5/C4-1</f>
        <v>-8.3337314184714906E-3</v>
      </c>
      <c r="F5" s="2"/>
      <c r="G5" s="2"/>
      <c r="H5" s="2"/>
    </row>
    <row r="6" spans="1:8" x14ac:dyDescent="0.2">
      <c r="A6" s="25" t="s">
        <v>308</v>
      </c>
      <c r="B6" s="25">
        <v>43.78</v>
      </c>
      <c r="C6" s="25">
        <v>4766.18</v>
      </c>
      <c r="D6" s="26">
        <f t="shared" si="0"/>
        <v>3.596781826786577E-2</v>
      </c>
      <c r="E6" s="26">
        <f t="shared" si="1"/>
        <v>4.3612874972629889E-2</v>
      </c>
      <c r="F6" s="2"/>
      <c r="G6" s="9" t="s">
        <v>309</v>
      </c>
      <c r="H6" s="2"/>
    </row>
    <row r="7" spans="1:8" x14ac:dyDescent="0.2">
      <c r="A7" s="25" t="s">
        <v>310</v>
      </c>
      <c r="B7" s="25">
        <v>42.88</v>
      </c>
      <c r="C7" s="25">
        <v>4515.55</v>
      </c>
      <c r="D7" s="26">
        <f t="shared" si="0"/>
        <v>-2.0557332115121008E-2</v>
      </c>
      <c r="E7" s="26">
        <f t="shared" si="1"/>
        <v>-5.2585089106999772E-2</v>
      </c>
      <c r="F7" s="2"/>
      <c r="G7" s="9" t="s">
        <v>311</v>
      </c>
      <c r="H7" s="2"/>
    </row>
    <row r="8" spans="1:8" x14ac:dyDescent="0.2">
      <c r="A8" s="25" t="s">
        <v>312</v>
      </c>
      <c r="B8" s="25">
        <v>44.4</v>
      </c>
      <c r="C8" s="25">
        <v>4373.9399999999996</v>
      </c>
      <c r="D8" s="26">
        <f t="shared" si="0"/>
        <v>3.5447761194029814E-2</v>
      </c>
      <c r="E8" s="26">
        <f t="shared" si="1"/>
        <v>-3.1360520866782648E-2</v>
      </c>
      <c r="F8" s="2"/>
      <c r="G8" s="2"/>
      <c r="H8" s="2"/>
    </row>
    <row r="9" spans="1:8" x14ac:dyDescent="0.2">
      <c r="A9" s="25" t="s">
        <v>313</v>
      </c>
      <c r="B9" s="25">
        <v>46.36</v>
      </c>
      <c r="C9" s="25">
        <v>4530.41</v>
      </c>
      <c r="D9" s="26">
        <f t="shared" si="0"/>
        <v>4.4144144144144137E-2</v>
      </c>
      <c r="E9" s="26">
        <f t="shared" si="1"/>
        <v>3.5773238773280092E-2</v>
      </c>
      <c r="F9" s="2"/>
      <c r="G9" s="2"/>
      <c r="H9" s="2"/>
    </row>
    <row r="10" spans="1:8" x14ac:dyDescent="0.2">
      <c r="A10" s="25" t="s">
        <v>314</v>
      </c>
      <c r="B10" s="25">
        <v>50.5</v>
      </c>
      <c r="C10" s="25">
        <v>4131.93</v>
      </c>
      <c r="D10" s="26">
        <f t="shared" si="0"/>
        <v>8.9301121656600424E-2</v>
      </c>
      <c r="E10" s="26">
        <f t="shared" si="1"/>
        <v>-8.7956719149039353E-2</v>
      </c>
      <c r="F10" s="2"/>
      <c r="G10" s="2"/>
      <c r="H10" s="2"/>
    </row>
    <row r="11" spans="1:8" x14ac:dyDescent="0.2">
      <c r="A11" s="25" t="s">
        <v>315</v>
      </c>
      <c r="B11" s="25">
        <v>47.63</v>
      </c>
      <c r="C11" s="25">
        <v>4132.1499999999996</v>
      </c>
      <c r="D11" s="26">
        <f t="shared" si="0"/>
        <v>-5.6831683168316771E-2</v>
      </c>
      <c r="E11" s="26">
        <f t="shared" si="1"/>
        <v>5.3243883608722342E-5</v>
      </c>
      <c r="F11" s="2"/>
      <c r="G11" s="2"/>
      <c r="H11" s="2"/>
    </row>
    <row r="12" spans="1:8" x14ac:dyDescent="0.2">
      <c r="A12" s="25" t="s">
        <v>316</v>
      </c>
      <c r="B12" s="25">
        <v>35.42</v>
      </c>
      <c r="C12" s="25">
        <v>3785.38</v>
      </c>
      <c r="D12" s="26">
        <f t="shared" si="0"/>
        <v>-0.25635103926097003</v>
      </c>
      <c r="E12" s="26">
        <f t="shared" si="1"/>
        <v>-8.3919993223866451E-2</v>
      </c>
      <c r="F12" s="2"/>
      <c r="G12" s="2"/>
      <c r="H12" s="2"/>
    </row>
    <row r="13" spans="1:8" x14ac:dyDescent="0.2">
      <c r="A13" s="25" t="s">
        <v>317</v>
      </c>
      <c r="B13" s="25">
        <v>36.75</v>
      </c>
      <c r="C13" s="25">
        <v>4130.29</v>
      </c>
      <c r="D13" s="26">
        <f t="shared" si="0"/>
        <v>3.7549407114624511E-2</v>
      </c>
      <c r="E13" s="26">
        <f t="shared" si="1"/>
        <v>9.1116347632205885E-2</v>
      </c>
      <c r="F13" s="2"/>
      <c r="G13" s="2"/>
      <c r="H13" s="2"/>
    </row>
    <row r="14" spans="1:8" x14ac:dyDescent="0.2">
      <c r="A14" s="25" t="s">
        <v>318</v>
      </c>
      <c r="B14" s="25">
        <v>35.01</v>
      </c>
      <c r="C14" s="25">
        <v>3955</v>
      </c>
      <c r="D14" s="26">
        <f t="shared" si="0"/>
        <v>-4.7346938775510217E-2</v>
      </c>
      <c r="E14" s="26">
        <f t="shared" si="1"/>
        <v>-4.2440119216810457E-2</v>
      </c>
      <c r="F14" s="2"/>
      <c r="G14" s="2"/>
      <c r="H14" s="2"/>
    </row>
    <row r="15" spans="1:8" x14ac:dyDescent="0.2">
      <c r="A15" s="25" t="s">
        <v>319</v>
      </c>
      <c r="B15" s="25">
        <v>32.53</v>
      </c>
      <c r="C15" s="25">
        <v>3585.62</v>
      </c>
      <c r="D15" s="26">
        <f t="shared" si="0"/>
        <v>-7.0836903741787971E-2</v>
      </c>
      <c r="E15" s="26">
        <f t="shared" si="1"/>
        <v>-9.3395701643489315E-2</v>
      </c>
      <c r="F15" s="2"/>
      <c r="G15" s="2"/>
      <c r="H15" s="2"/>
    </row>
    <row r="16" spans="1:8" x14ac:dyDescent="0.2">
      <c r="A16" s="25" t="s">
        <v>320</v>
      </c>
      <c r="B16" s="25">
        <v>43.08</v>
      </c>
      <c r="C16" s="25">
        <v>3871.98</v>
      </c>
      <c r="D16" s="26">
        <f t="shared" si="0"/>
        <v>0.32431601598524429</v>
      </c>
      <c r="E16" s="26">
        <f t="shared" si="1"/>
        <v>7.9863454576893256E-2</v>
      </c>
      <c r="F16" s="2"/>
      <c r="G16" s="2"/>
      <c r="H16" s="2"/>
    </row>
    <row r="17" spans="1:8" x14ac:dyDescent="0.2">
      <c r="A17" s="25" t="s">
        <v>321</v>
      </c>
      <c r="B17" s="25">
        <v>44.17</v>
      </c>
      <c r="C17" s="25">
        <v>4080.11</v>
      </c>
      <c r="D17" s="26">
        <f t="shared" si="0"/>
        <v>2.5301764159702866E-2</v>
      </c>
      <c r="E17" s="26">
        <f t="shared" si="1"/>
        <v>5.3752860293699856E-2</v>
      </c>
      <c r="F17" s="2"/>
      <c r="G17" s="2"/>
      <c r="H17" s="2"/>
    </row>
    <row r="18" spans="1:8" x14ac:dyDescent="0.2">
      <c r="A18" s="25" t="s">
        <v>322</v>
      </c>
      <c r="B18" s="25">
        <v>37.700000000000003</v>
      </c>
      <c r="C18" s="25">
        <v>3839.5</v>
      </c>
      <c r="D18" s="26">
        <f t="shared" si="0"/>
        <v>-0.14647951098030332</v>
      </c>
      <c r="E18" s="26">
        <f t="shared" si="1"/>
        <v>-5.8971449299161094E-2</v>
      </c>
      <c r="F18" s="2"/>
      <c r="G18" s="2"/>
      <c r="H18" s="2"/>
    </row>
    <row r="19" spans="1:8" x14ac:dyDescent="0.2">
      <c r="A19" s="25" t="s">
        <v>323</v>
      </c>
      <c r="B19" s="25">
        <v>48.96</v>
      </c>
      <c r="C19" s="25">
        <v>4076.6</v>
      </c>
      <c r="D19" s="26">
        <f t="shared" si="0"/>
        <v>0.29867374005305036</v>
      </c>
      <c r="E19" s="26">
        <f t="shared" si="1"/>
        <v>6.1752832400052027E-2</v>
      </c>
      <c r="F19" s="2"/>
      <c r="G19" s="2"/>
      <c r="H19" s="2"/>
    </row>
    <row r="20" spans="1:8" x14ac:dyDescent="0.2">
      <c r="A20" s="25" t="s">
        <v>324</v>
      </c>
      <c r="B20" s="25">
        <v>51.96</v>
      </c>
      <c r="C20" s="25">
        <v>3970.15</v>
      </c>
      <c r="D20" s="26">
        <f t="shared" si="0"/>
        <v>6.1274509803921573E-2</v>
      </c>
      <c r="E20" s="26">
        <f t="shared" si="1"/>
        <v>-2.6112446646715304E-2</v>
      </c>
      <c r="F20" s="2"/>
      <c r="G20" s="2"/>
      <c r="H20" s="2"/>
    </row>
    <row r="21" spans="1:8" x14ac:dyDescent="0.2">
      <c r="A21" s="25" t="s">
        <v>325</v>
      </c>
      <c r="B21" s="25">
        <v>44.25</v>
      </c>
      <c r="C21" s="25">
        <v>4109.3100000000004</v>
      </c>
      <c r="D21" s="26">
        <f t="shared" si="0"/>
        <v>-0.14838337182448036</v>
      </c>
      <c r="E21" s="26">
        <f t="shared" si="1"/>
        <v>3.5051572358727023E-2</v>
      </c>
      <c r="F21" s="2"/>
      <c r="G21" s="2"/>
      <c r="H21" s="2"/>
    </row>
    <row r="22" spans="1:8" x14ac:dyDescent="0.2">
      <c r="A22" s="25" t="s">
        <v>326</v>
      </c>
      <c r="B22" s="25">
        <v>43.8</v>
      </c>
      <c r="C22" s="25">
        <v>4169.4799999999996</v>
      </c>
      <c r="D22" s="26">
        <f t="shared" si="0"/>
        <v>-1.0169491525423791E-2</v>
      </c>
      <c r="E22" s="26">
        <f t="shared" si="1"/>
        <v>1.464236088297044E-2</v>
      </c>
      <c r="F22" s="2"/>
      <c r="G22" s="2"/>
      <c r="H22" s="2"/>
    </row>
    <row r="23" spans="1:8" x14ac:dyDescent="0.2">
      <c r="A23" s="25" t="s">
        <v>327</v>
      </c>
      <c r="B23" s="25">
        <v>47.47</v>
      </c>
      <c r="C23" s="25">
        <v>4179.83</v>
      </c>
      <c r="D23" s="26">
        <f t="shared" si="0"/>
        <v>8.3789954337899486E-2</v>
      </c>
      <c r="E23" s="26">
        <f t="shared" si="1"/>
        <v>2.4823239348792381E-3</v>
      </c>
      <c r="F23" s="2"/>
      <c r="G23" s="2"/>
      <c r="H23" s="2"/>
    </row>
    <row r="24" spans="1:8" x14ac:dyDescent="0.2">
      <c r="A24" s="25" t="s">
        <v>328</v>
      </c>
      <c r="B24" s="25">
        <v>54.87</v>
      </c>
      <c r="C24" s="25">
        <v>4450.38</v>
      </c>
      <c r="D24" s="26">
        <f t="shared" si="0"/>
        <v>0.15588792921845362</v>
      </c>
      <c r="E24" s="26">
        <f t="shared" si="1"/>
        <v>6.4727512841431301E-2</v>
      </c>
      <c r="F24" s="2"/>
      <c r="G24" s="2"/>
      <c r="H24" s="2"/>
    </row>
    <row r="25" spans="1:8" x14ac:dyDescent="0.2">
      <c r="A25" s="25" t="s">
        <v>329</v>
      </c>
      <c r="B25" s="25">
        <v>54.31</v>
      </c>
      <c r="C25" s="25">
        <v>4588.96</v>
      </c>
      <c r="D25" s="26">
        <f t="shared" si="0"/>
        <v>-1.0205941315837297E-2</v>
      </c>
      <c r="E25" s="26">
        <f t="shared" si="1"/>
        <v>3.1138913980379268E-2</v>
      </c>
      <c r="F25" s="2"/>
      <c r="G25" s="2"/>
      <c r="H25" s="2"/>
    </row>
    <row r="26" spans="1:8" x14ac:dyDescent="0.2">
      <c r="A26" s="25" t="s">
        <v>330</v>
      </c>
      <c r="B26" s="25">
        <v>49.81</v>
      </c>
      <c r="C26" s="25">
        <v>4507.66</v>
      </c>
      <c r="D26" s="26">
        <f t="shared" si="0"/>
        <v>-8.2857668937580509E-2</v>
      </c>
      <c r="E26" s="26">
        <f t="shared" si="1"/>
        <v>-1.771643248143373E-2</v>
      </c>
      <c r="F26" s="2"/>
      <c r="G26" s="2"/>
      <c r="H26" s="2"/>
    </row>
    <row r="27" spans="1:8" x14ac:dyDescent="0.2">
      <c r="A27" s="25" t="s">
        <v>331</v>
      </c>
      <c r="B27" s="25">
        <v>42.3</v>
      </c>
      <c r="C27" s="25">
        <v>4288.05</v>
      </c>
      <c r="D27" s="26">
        <f t="shared" si="0"/>
        <v>-0.15077293716121265</v>
      </c>
      <c r="E27" s="26">
        <f t="shared" si="1"/>
        <v>-4.871929116215501E-2</v>
      </c>
      <c r="F27" s="2"/>
      <c r="G27" s="2"/>
      <c r="H27" s="2"/>
    </row>
    <row r="28" spans="1:8" x14ac:dyDescent="0.2">
      <c r="A28" s="25" t="s">
        <v>332</v>
      </c>
      <c r="B28" s="25">
        <v>35.01</v>
      </c>
      <c r="C28" s="25">
        <v>4193.8</v>
      </c>
      <c r="D28" s="26">
        <f t="shared" si="0"/>
        <v>-0.17234042553191486</v>
      </c>
      <c r="E28" s="26">
        <f t="shared" si="1"/>
        <v>-2.1979687736850106E-2</v>
      </c>
      <c r="F28" s="2"/>
      <c r="G28" s="2"/>
      <c r="H28" s="2"/>
    </row>
    <row r="29" spans="1:8" x14ac:dyDescent="0.2">
      <c r="A29" s="25" t="s">
        <v>333</v>
      </c>
      <c r="B29" s="25">
        <v>39.4</v>
      </c>
      <c r="C29" s="25">
        <v>4567.8</v>
      </c>
      <c r="D29" s="26">
        <f t="shared" si="0"/>
        <v>0.12539274493002006</v>
      </c>
      <c r="E29" s="26">
        <f t="shared" si="1"/>
        <v>8.9179264628737709E-2</v>
      </c>
      <c r="F29" s="2"/>
      <c r="G29" s="2"/>
      <c r="H29" s="2"/>
    </row>
    <row r="30" spans="1:8" x14ac:dyDescent="0.2">
      <c r="A30" s="25" t="s">
        <v>334</v>
      </c>
      <c r="B30" s="25">
        <v>41.26</v>
      </c>
      <c r="C30" s="25">
        <v>4769.83</v>
      </c>
      <c r="D30" s="26">
        <f t="shared" si="0"/>
        <v>4.7208121827411187E-2</v>
      </c>
      <c r="E30" s="26">
        <f t="shared" si="1"/>
        <v>4.4229169403213753E-2</v>
      </c>
      <c r="F30" s="2"/>
      <c r="G30" s="2"/>
      <c r="H30" s="2"/>
    </row>
    <row r="31" spans="1:8" x14ac:dyDescent="0.2">
      <c r="A31" s="25" t="s">
        <v>335</v>
      </c>
      <c r="B31" s="25">
        <v>41.38</v>
      </c>
      <c r="C31" s="25">
        <v>4845.6499999999996</v>
      </c>
      <c r="D31" s="26">
        <f t="shared" si="0"/>
        <v>2.9083858458556211E-3</v>
      </c>
      <c r="E31" s="26">
        <f t="shared" si="1"/>
        <v>1.5895744712075555E-2</v>
      </c>
      <c r="F31" s="2"/>
      <c r="G31" s="2"/>
      <c r="H31" s="2"/>
    </row>
    <row r="32" spans="1:8" x14ac:dyDescent="0.2">
      <c r="A32" s="25" t="s">
        <v>336</v>
      </c>
      <c r="B32" s="25">
        <v>45.49</v>
      </c>
      <c r="C32" s="25">
        <v>5096.2700000000004</v>
      </c>
      <c r="D32" s="26">
        <f t="shared" si="0"/>
        <v>9.9323344610923181E-2</v>
      </c>
      <c r="E32" s="26">
        <f t="shared" si="1"/>
        <v>5.1720615397315317E-2</v>
      </c>
      <c r="F32" s="2"/>
      <c r="G32" s="2"/>
      <c r="H32" s="2"/>
    </row>
    <row r="33" spans="1:8" x14ac:dyDescent="0.2">
      <c r="A33" s="25" t="s">
        <v>337</v>
      </c>
      <c r="B33" s="25">
        <v>47.88</v>
      </c>
      <c r="C33" s="25">
        <v>5254.35</v>
      </c>
      <c r="D33" s="26">
        <f t="shared" si="0"/>
        <v>5.2539019564739498E-2</v>
      </c>
      <c r="E33" s="26">
        <f t="shared" si="1"/>
        <v>3.1018764704381807E-2</v>
      </c>
      <c r="F33" s="2"/>
      <c r="G33" s="2"/>
      <c r="H33" s="2"/>
    </row>
    <row r="34" spans="1:8" x14ac:dyDescent="0.2">
      <c r="A34" s="25" t="s">
        <v>338</v>
      </c>
      <c r="B34" s="25">
        <v>51.46</v>
      </c>
      <c r="C34" s="25">
        <v>5035.6899999999996</v>
      </c>
      <c r="D34" s="26">
        <f t="shared" si="0"/>
        <v>7.4770258980785265E-2</v>
      </c>
      <c r="E34" s="26">
        <f t="shared" si="1"/>
        <v>-4.1615042774082567E-2</v>
      </c>
      <c r="F34" s="2"/>
      <c r="G34" s="2"/>
      <c r="H34" s="2"/>
    </row>
    <row r="35" spans="1:8" x14ac:dyDescent="0.2">
      <c r="A35" s="25" t="s">
        <v>339</v>
      </c>
      <c r="B35" s="25">
        <v>52.99</v>
      </c>
      <c r="C35" s="25">
        <v>5277.51</v>
      </c>
      <c r="D35" s="26">
        <f t="shared" si="0"/>
        <v>2.973183054799855E-2</v>
      </c>
      <c r="E35" s="26">
        <f t="shared" si="1"/>
        <v>4.8021224499522619E-2</v>
      </c>
      <c r="F35" s="2"/>
      <c r="G35" s="2"/>
      <c r="H35" s="2"/>
    </row>
    <row r="36" spans="1:8" x14ac:dyDescent="0.2">
      <c r="A36" s="25" t="s">
        <v>340</v>
      </c>
      <c r="B36" s="25">
        <v>48.66</v>
      </c>
      <c r="C36" s="25">
        <v>5460.48</v>
      </c>
      <c r="D36" s="26">
        <f t="shared" si="0"/>
        <v>-8.1713530854878424E-2</v>
      </c>
      <c r="E36" s="26">
        <f t="shared" si="1"/>
        <v>3.4669759034089864E-2</v>
      </c>
      <c r="F36" s="2"/>
      <c r="G36" s="2"/>
      <c r="H36" s="2"/>
    </row>
    <row r="37" spans="1:8" x14ac:dyDescent="0.2">
      <c r="A37" s="25" t="s">
        <v>341</v>
      </c>
      <c r="B37" s="25">
        <v>45.42</v>
      </c>
      <c r="C37" s="25">
        <v>5522.3</v>
      </c>
      <c r="D37" s="26">
        <f t="shared" ref="D37:D64" si="2">B37/B36-1</f>
        <v>-6.6584463625154022E-2</v>
      </c>
      <c r="E37" s="26">
        <f t="shared" ref="E37:E64" si="3">C37/C36-1</f>
        <v>1.1321349038912354E-2</v>
      </c>
      <c r="F37" s="2"/>
      <c r="G37" s="2"/>
      <c r="H37" s="2"/>
    </row>
    <row r="38" spans="1:8" x14ac:dyDescent="0.2">
      <c r="A38" s="25" t="s">
        <v>342</v>
      </c>
      <c r="B38" s="25">
        <v>44.04</v>
      </c>
      <c r="C38" s="25">
        <v>5648.4</v>
      </c>
      <c r="D38" s="26">
        <f t="shared" si="2"/>
        <v>-3.0383091149273511E-2</v>
      </c>
      <c r="E38" s="26">
        <f t="shared" si="3"/>
        <v>2.2834688445031892E-2</v>
      </c>
      <c r="F38" s="2"/>
      <c r="G38" s="2"/>
      <c r="H38" s="2"/>
    </row>
    <row r="39" spans="1:8" x14ac:dyDescent="0.2">
      <c r="A39" s="25" t="s">
        <v>343</v>
      </c>
      <c r="B39" s="25">
        <v>57.06</v>
      </c>
      <c r="C39" s="25">
        <v>5762.48</v>
      </c>
      <c r="D39" s="26">
        <f t="shared" si="2"/>
        <v>0.29564032697547682</v>
      </c>
      <c r="E39" s="26">
        <f t="shared" si="3"/>
        <v>2.0196869910062976E-2</v>
      </c>
      <c r="F39" s="2"/>
      <c r="G39" s="2"/>
      <c r="H39" s="2"/>
    </row>
    <row r="40" spans="1:8" x14ac:dyDescent="0.2">
      <c r="A40" s="25" t="s">
        <v>344</v>
      </c>
      <c r="B40" s="25">
        <v>78.260000000000005</v>
      </c>
      <c r="C40" s="25">
        <v>5705.45</v>
      </c>
      <c r="D40" s="26">
        <f t="shared" si="2"/>
        <v>0.37153873116018232</v>
      </c>
      <c r="E40" s="26">
        <f t="shared" si="3"/>
        <v>-9.8967805528175079E-3</v>
      </c>
      <c r="F40" s="2"/>
      <c r="G40" s="2"/>
      <c r="H40" s="2"/>
    </row>
    <row r="41" spans="1:8" x14ac:dyDescent="0.2">
      <c r="A41" s="25" t="s">
        <v>345</v>
      </c>
      <c r="B41" s="25">
        <v>96.83</v>
      </c>
      <c r="C41" s="25">
        <v>6032.38</v>
      </c>
      <c r="D41" s="26">
        <f t="shared" si="2"/>
        <v>0.23728596984410921</v>
      </c>
      <c r="E41" s="26">
        <f t="shared" si="3"/>
        <v>5.7301352215863854E-2</v>
      </c>
      <c r="F41" s="2"/>
      <c r="G41" s="2"/>
      <c r="H41" s="2"/>
    </row>
    <row r="42" spans="1:8" x14ac:dyDescent="0.2">
      <c r="A42" s="25" t="s">
        <v>346</v>
      </c>
      <c r="B42" s="25">
        <v>97.1</v>
      </c>
      <c r="C42" s="25">
        <v>5881.63</v>
      </c>
      <c r="D42" s="26">
        <f t="shared" si="2"/>
        <v>2.7883920272642193E-3</v>
      </c>
      <c r="E42" s="26">
        <f t="shared" si="3"/>
        <v>-2.4990136563014964E-2</v>
      </c>
      <c r="F42" s="2"/>
      <c r="G42" s="2"/>
      <c r="H42" s="2"/>
    </row>
    <row r="43" spans="1:8" x14ac:dyDescent="0.2">
      <c r="A43" s="25" t="s">
        <v>347</v>
      </c>
      <c r="B43" s="25">
        <v>105.84</v>
      </c>
      <c r="C43" s="25">
        <v>6040.53</v>
      </c>
      <c r="D43" s="26">
        <f t="shared" si="2"/>
        <v>9.001029866117416E-2</v>
      </c>
      <c r="E43" s="26">
        <f t="shared" si="3"/>
        <v>2.7016320305765618E-2</v>
      </c>
      <c r="F43" s="2"/>
      <c r="G43" s="2"/>
      <c r="H43" s="2"/>
    </row>
    <row r="44" spans="1:8" x14ac:dyDescent="0.2">
      <c r="A44" s="25" t="s">
        <v>348</v>
      </c>
      <c r="B44" s="25">
        <v>93.81</v>
      </c>
      <c r="C44" s="25">
        <v>5954.5</v>
      </c>
      <c r="D44" s="26">
        <f t="shared" si="2"/>
        <v>-0.1136621315192744</v>
      </c>
      <c r="E44" s="26">
        <f t="shared" si="3"/>
        <v>-1.4242127760312417E-2</v>
      </c>
      <c r="F44" s="2"/>
      <c r="G44" s="2"/>
      <c r="H44" s="2"/>
    </row>
    <row r="45" spans="1:8" x14ac:dyDescent="0.2">
      <c r="A45" s="25" t="s">
        <v>349</v>
      </c>
      <c r="B45" s="25">
        <v>69.05</v>
      </c>
      <c r="C45" s="25">
        <v>5611.85</v>
      </c>
      <c r="D45" s="26">
        <f t="shared" si="2"/>
        <v>-0.26393774650890101</v>
      </c>
      <c r="E45" s="26">
        <f t="shared" si="3"/>
        <v>-5.7544714081786852E-2</v>
      </c>
      <c r="F45" s="2"/>
      <c r="G45" s="2"/>
      <c r="H45" s="2"/>
    </row>
    <row r="46" spans="1:8" x14ac:dyDescent="0.2">
      <c r="A46" s="25" t="s">
        <v>350</v>
      </c>
      <c r="B46" s="25">
        <v>68.819999999999993</v>
      </c>
      <c r="C46" s="25">
        <v>5569.06</v>
      </c>
      <c r="D46" s="26">
        <f t="shared" si="2"/>
        <v>-3.3309196234613259E-3</v>
      </c>
      <c r="E46" s="26">
        <f t="shared" si="3"/>
        <v>-7.6249365182604611E-3</v>
      </c>
      <c r="F46" s="2"/>
      <c r="G46" s="2"/>
      <c r="H46" s="2"/>
    </row>
    <row r="47" spans="1:8" x14ac:dyDescent="0.2">
      <c r="A47" s="25" t="s">
        <v>351</v>
      </c>
      <c r="B47" s="25">
        <v>79.44</v>
      </c>
      <c r="C47" s="25">
        <v>5911.69</v>
      </c>
      <c r="D47" s="26">
        <f t="shared" si="2"/>
        <v>0.15431560592850913</v>
      </c>
      <c r="E47" s="26">
        <f t="shared" si="3"/>
        <v>6.1523847830692979E-2</v>
      </c>
      <c r="F47" s="2"/>
      <c r="G47" s="2"/>
      <c r="H47" s="2"/>
    </row>
    <row r="48" spans="1:8" x14ac:dyDescent="0.2">
      <c r="A48" s="25" t="s">
        <v>352</v>
      </c>
      <c r="B48" s="25">
        <v>79.63</v>
      </c>
      <c r="C48" s="25">
        <v>6204.95</v>
      </c>
      <c r="D48" s="26">
        <f t="shared" si="2"/>
        <v>2.391742195367641E-3</v>
      </c>
      <c r="E48" s="26">
        <f t="shared" si="3"/>
        <v>4.960679602617879E-2</v>
      </c>
      <c r="F48" s="2"/>
      <c r="G48" s="2"/>
      <c r="H48" s="2"/>
    </row>
    <row r="49" spans="1:8" x14ac:dyDescent="0.2">
      <c r="A49" s="25" t="s">
        <v>353</v>
      </c>
      <c r="B49" s="25">
        <v>88.31</v>
      </c>
      <c r="C49" s="25">
        <v>6339.39</v>
      </c>
      <c r="D49" s="26">
        <f t="shared" si="2"/>
        <v>0.10900414416677151</v>
      </c>
      <c r="E49" s="26">
        <f t="shared" si="3"/>
        <v>2.1666572655702376E-2</v>
      </c>
      <c r="F49" s="2"/>
      <c r="G49" s="2"/>
      <c r="H49" s="2"/>
    </row>
    <row r="50" spans="1:8" x14ac:dyDescent="0.2">
      <c r="A50" s="25" t="s">
        <v>354</v>
      </c>
      <c r="B50" s="25">
        <v>105</v>
      </c>
      <c r="C50" s="25">
        <v>6460.26</v>
      </c>
      <c r="D50" s="26">
        <f t="shared" si="2"/>
        <v>0.18899331898992178</v>
      </c>
      <c r="E50" s="26">
        <f t="shared" si="3"/>
        <v>1.9066503244002941E-2</v>
      </c>
      <c r="F50" s="2"/>
      <c r="G50" s="2"/>
      <c r="H50" s="2"/>
    </row>
    <row r="51" spans="1:8" x14ac:dyDescent="0.2">
      <c r="A51" s="25" t="s">
        <v>355</v>
      </c>
      <c r="B51" s="25">
        <v>96.5</v>
      </c>
      <c r="C51" s="25">
        <v>6688.46</v>
      </c>
      <c r="D51" s="26">
        <f t="shared" si="2"/>
        <v>-8.0952380952380998E-2</v>
      </c>
      <c r="E51" s="26">
        <f t="shared" si="3"/>
        <v>3.5323655704259549E-2</v>
      </c>
      <c r="F51" s="2"/>
      <c r="G51" s="2"/>
      <c r="H51" s="2"/>
    </row>
    <row r="52" spans="1:8" x14ac:dyDescent="0.2">
      <c r="A52" s="25" t="s">
        <v>356</v>
      </c>
      <c r="B52" s="25">
        <v>94.04</v>
      </c>
      <c r="C52" s="25">
        <v>6840.2</v>
      </c>
      <c r="D52" s="26">
        <f t="shared" si="2"/>
        <v>-2.5492227979274529E-2</v>
      </c>
      <c r="E52" s="26">
        <f t="shared" si="3"/>
        <v>2.2686836730727133E-2</v>
      </c>
      <c r="F52" s="2"/>
      <c r="G52" s="2"/>
      <c r="H52" s="2"/>
    </row>
    <row r="53" spans="1:8" x14ac:dyDescent="0.2">
      <c r="A53" s="25" t="s">
        <v>357</v>
      </c>
      <c r="B53" s="25">
        <v>101.96</v>
      </c>
      <c r="C53" s="25">
        <v>6849.09</v>
      </c>
      <c r="D53" s="26">
        <f t="shared" si="2"/>
        <v>8.421948107188415E-2</v>
      </c>
      <c r="E53" s="26">
        <f t="shared" si="3"/>
        <v>1.299669600304032E-3</v>
      </c>
      <c r="F53" s="2"/>
      <c r="G53" s="2"/>
      <c r="H53" s="2"/>
    </row>
    <row r="54" spans="1:8" x14ac:dyDescent="0.2">
      <c r="A54" s="25" t="s">
        <v>358</v>
      </c>
      <c r="B54" s="25">
        <v>111.82</v>
      </c>
      <c r="C54" s="25">
        <v>6845.5</v>
      </c>
      <c r="D54" s="26">
        <f t="shared" si="2"/>
        <v>9.6704590035308069E-2</v>
      </c>
      <c r="E54" s="26">
        <f t="shared" si="3"/>
        <v>-5.2415722380638741E-4</v>
      </c>
      <c r="F54" s="2"/>
      <c r="G54" s="2"/>
      <c r="H54" s="2"/>
    </row>
    <row r="55" spans="1:8" x14ac:dyDescent="0.2">
      <c r="A55" s="25" t="s">
        <v>359</v>
      </c>
      <c r="B55" s="25">
        <v>102.32</v>
      </c>
      <c r="C55" s="25">
        <v>6939.03</v>
      </c>
      <c r="D55" s="26">
        <f t="shared" si="2"/>
        <v>-8.4957968163119291E-2</v>
      </c>
      <c r="E55" s="26">
        <f t="shared" si="3"/>
        <v>1.3662990285588927E-2</v>
      </c>
      <c r="F55" s="2"/>
      <c r="G55" s="2"/>
      <c r="H55" s="2"/>
    </row>
    <row r="56" spans="1:8" x14ac:dyDescent="0.2">
      <c r="A56" s="25" t="s">
        <v>360</v>
      </c>
      <c r="B56" s="25">
        <v>106.3</v>
      </c>
      <c r="C56" s="25">
        <v>6878.88</v>
      </c>
      <c r="D56" s="26">
        <f t="shared" si="2"/>
        <v>3.8897576231430753E-2</v>
      </c>
      <c r="E56" s="26">
        <f t="shared" si="3"/>
        <v>-8.6683585457909551E-3</v>
      </c>
      <c r="F56" s="2"/>
      <c r="G56" s="2"/>
      <c r="H56" s="2"/>
    </row>
    <row r="57" spans="1:8" x14ac:dyDescent="0.2">
      <c r="A57" s="25" t="s">
        <v>361</v>
      </c>
      <c r="B57" s="25">
        <v>92.07</v>
      </c>
      <c r="C57" s="25">
        <v>6528.52</v>
      </c>
      <c r="D57" s="26">
        <f t="shared" si="2"/>
        <v>-0.13386641580432745</v>
      </c>
      <c r="E57" s="26">
        <f t="shared" si="3"/>
        <v>-5.0932709976042601E-2</v>
      </c>
      <c r="F57" s="2"/>
      <c r="G57" s="2"/>
      <c r="H57" s="2"/>
    </row>
    <row r="58" spans="1:8" x14ac:dyDescent="0.2">
      <c r="A58" s="25" t="s">
        <v>362</v>
      </c>
      <c r="B58" s="25">
        <v>90</v>
      </c>
      <c r="C58" s="25">
        <v>7209.01</v>
      </c>
      <c r="D58" s="26">
        <f t="shared" si="2"/>
        <v>-2.2482893450635366E-2</v>
      </c>
      <c r="E58" s="26">
        <f t="shared" si="3"/>
        <v>0.10423342503354505</v>
      </c>
      <c r="F58" s="2"/>
      <c r="G58" s="2"/>
      <c r="H58" s="2"/>
    </row>
    <row r="59" spans="1:8" x14ac:dyDescent="0.2">
      <c r="A59" s="25" t="s">
        <v>363</v>
      </c>
      <c r="B59" s="25">
        <v>114.8</v>
      </c>
      <c r="C59" s="25">
        <v>7580.06</v>
      </c>
      <c r="D59" s="26">
        <f t="shared" si="2"/>
        <v>0.27555555555555555</v>
      </c>
      <c r="E59" s="26">
        <f t="shared" si="3"/>
        <v>5.147031284462078E-2</v>
      </c>
      <c r="F59" s="2"/>
      <c r="G59" s="2"/>
      <c r="H59" s="2"/>
    </row>
    <row r="60" spans="1:8" x14ac:dyDescent="0.2">
      <c r="A60" s="25" t="s">
        <v>364</v>
      </c>
      <c r="B60" s="25">
        <v>135.99</v>
      </c>
      <c r="C60" s="25">
        <v>7499.36</v>
      </c>
      <c r="D60" s="26">
        <f t="shared" si="2"/>
        <v>0.18458188153310107</v>
      </c>
      <c r="E60" s="26">
        <f t="shared" si="3"/>
        <v>-1.0646353722793878E-2</v>
      </c>
      <c r="F60" s="2"/>
      <c r="G60" s="2"/>
      <c r="H60" s="2"/>
    </row>
    <row r="61" spans="1:8" x14ac:dyDescent="0.2">
      <c r="A61" s="25" t="s">
        <v>365</v>
      </c>
      <c r="B61" s="25">
        <v>121.33</v>
      </c>
      <c r="C61" s="25">
        <v>7489.72</v>
      </c>
      <c r="D61" s="26">
        <f t="shared" si="2"/>
        <v>-0.10780204426796092</v>
      </c>
      <c r="E61" s="26">
        <f t="shared" si="3"/>
        <v>-1.2854430244713111E-3</v>
      </c>
      <c r="F61" s="2"/>
      <c r="G61" s="2"/>
      <c r="H61" s="2"/>
    </row>
    <row r="62" spans="1:8" x14ac:dyDescent="0.2">
      <c r="A62" s="25" t="s">
        <v>366</v>
      </c>
      <c r="B62" s="25">
        <v>107.99</v>
      </c>
      <c r="C62" s="25">
        <v>7686.14</v>
      </c>
      <c r="D62" s="26">
        <f t="shared" si="2"/>
        <v>-0.10994807549657959</v>
      </c>
      <c r="E62" s="26">
        <f t="shared" si="3"/>
        <v>2.6225279449699102E-2</v>
      </c>
      <c r="F62" s="2"/>
      <c r="G62" s="2"/>
      <c r="H62" s="2"/>
    </row>
    <row r="63" spans="1:8" x14ac:dyDescent="0.2">
      <c r="A63" s="25" t="s">
        <v>367</v>
      </c>
      <c r="B63" s="25">
        <v>110.95</v>
      </c>
      <c r="C63" s="25">
        <v>7651.54</v>
      </c>
      <c r="D63" s="26">
        <f t="shared" si="2"/>
        <v>2.7409945365311605E-2</v>
      </c>
      <c r="E63" s="26">
        <f t="shared" si="3"/>
        <v>-4.5016093904092225E-3</v>
      </c>
      <c r="F63" s="2"/>
      <c r="G63" s="2"/>
      <c r="H63" s="2"/>
    </row>
    <row r="64" spans="1:8" x14ac:dyDescent="0.2">
      <c r="A64" s="25" t="s">
        <v>368</v>
      </c>
      <c r="B64" s="25">
        <v>103.23</v>
      </c>
      <c r="C64" s="25">
        <v>7805.45</v>
      </c>
      <c r="D64" s="26">
        <f t="shared" si="2"/>
        <v>-6.9580892293826024E-2</v>
      </c>
      <c r="E64" s="26">
        <f t="shared" si="3"/>
        <v>2.0114904973377978E-2</v>
      </c>
      <c r="F64" s="2"/>
      <c r="G64" s="2"/>
      <c r="H64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6" customWidth="1"/>
    <col min="2" max="2" width="9" customWidth="1"/>
    <col min="3" max="3" width="11" customWidth="1"/>
    <col min="4" max="4" width="70" customWidth="1"/>
  </cols>
  <sheetData>
    <row r="1" spans="1:4" ht="16" x14ac:dyDescent="0.2">
      <c r="A1" s="1" t="s">
        <v>369</v>
      </c>
      <c r="B1" s="2"/>
      <c r="C1" s="2"/>
      <c r="D1" s="2"/>
    </row>
    <row r="2" spans="1:4" x14ac:dyDescent="0.2">
      <c r="A2" s="2"/>
      <c r="B2" s="2"/>
      <c r="C2" s="2"/>
      <c r="D2" s="2"/>
    </row>
    <row r="3" spans="1:4" x14ac:dyDescent="0.2">
      <c r="A3" s="5" t="s">
        <v>370</v>
      </c>
      <c r="B3" s="5" t="s">
        <v>22</v>
      </c>
      <c r="C3" s="6" t="s">
        <v>371</v>
      </c>
      <c r="D3" s="6" t="s">
        <v>33</v>
      </c>
    </row>
    <row r="4" spans="1:4" x14ac:dyDescent="0.2">
      <c r="A4" s="3" t="s">
        <v>372</v>
      </c>
      <c r="B4" s="9" t="s">
        <v>150</v>
      </c>
      <c r="C4" s="27">
        <f>Assumptions!$C$7</f>
        <v>5.2400000000000002E-2</v>
      </c>
      <c r="D4" s="2"/>
    </row>
    <row r="5" spans="1:4" x14ac:dyDescent="0.2">
      <c r="A5" s="3" t="s">
        <v>373</v>
      </c>
      <c r="B5" s="9" t="s">
        <v>192</v>
      </c>
      <c r="C5" s="16">
        <f>Beta!$H$3</f>
        <v>1.3605204082960316</v>
      </c>
      <c r="D5" s="9" t="s">
        <v>374</v>
      </c>
    </row>
    <row r="6" spans="1:4" x14ac:dyDescent="0.2">
      <c r="A6" s="3" t="s">
        <v>375</v>
      </c>
      <c r="B6" s="9" t="s">
        <v>150</v>
      </c>
      <c r="C6" s="27">
        <f>Assumptions!$C$8</f>
        <v>0.05</v>
      </c>
      <c r="D6" s="2"/>
    </row>
    <row r="7" spans="1:4" x14ac:dyDescent="0.2">
      <c r="A7" s="4" t="s">
        <v>376</v>
      </c>
      <c r="B7" s="9" t="s">
        <v>150</v>
      </c>
      <c r="C7" s="28">
        <f>WACC!$C$4+WACC!$C$5*WACC!$C$6</f>
        <v>0.12042602041480159</v>
      </c>
      <c r="D7" s="2"/>
    </row>
    <row r="8" spans="1:4" x14ac:dyDescent="0.2">
      <c r="A8" s="3" t="s">
        <v>377</v>
      </c>
      <c r="B8" s="9" t="s">
        <v>150</v>
      </c>
      <c r="C8" s="27">
        <f>Assumptions!$C$9</f>
        <v>6.5000000000000002E-2</v>
      </c>
      <c r="D8" s="2"/>
    </row>
    <row r="9" spans="1:4" x14ac:dyDescent="0.2">
      <c r="A9" s="3" t="s">
        <v>378</v>
      </c>
      <c r="B9" s="9" t="s">
        <v>150</v>
      </c>
      <c r="C9" s="27">
        <f>WACC!$C$8*(1-Assumptions!$C$10)</f>
        <v>5.0700000000000002E-2</v>
      </c>
      <c r="D9" s="2"/>
    </row>
    <row r="10" spans="1:4" x14ac:dyDescent="0.2">
      <c r="A10" s="3" t="s">
        <v>379</v>
      </c>
      <c r="B10" s="9" t="s">
        <v>56</v>
      </c>
      <c r="C10" s="11">
        <f>Assumptions!$C$5*Assumptions!$C$6</f>
        <v>33714.918000000005</v>
      </c>
      <c r="D10" s="2"/>
    </row>
    <row r="11" spans="1:4" x14ac:dyDescent="0.2">
      <c r="A11" s="3" t="s">
        <v>380</v>
      </c>
      <c r="B11" s="9" t="s">
        <v>56</v>
      </c>
      <c r="C11" s="11">
        <f>Metrics!$K$43</f>
        <v>34742</v>
      </c>
      <c r="D11" s="9" t="s">
        <v>381</v>
      </c>
    </row>
    <row r="12" spans="1:4" x14ac:dyDescent="0.2">
      <c r="A12" s="3" t="s">
        <v>382</v>
      </c>
      <c r="B12" s="9" t="s">
        <v>150</v>
      </c>
      <c r="C12" s="18">
        <f>WACC!$C$10/(WACC!$C$10+WACC!$C$11)</f>
        <v>0.49249833303918245</v>
      </c>
      <c r="D12" s="2"/>
    </row>
    <row r="13" spans="1:4" x14ac:dyDescent="0.2">
      <c r="A13" s="3" t="s">
        <v>383</v>
      </c>
      <c r="B13" s="9" t="s">
        <v>150</v>
      </c>
      <c r="C13" s="18">
        <f>1-WACC!$C$12</f>
        <v>0.50750166696081755</v>
      </c>
      <c r="D13" s="2"/>
    </row>
    <row r="14" spans="1:4" x14ac:dyDescent="0.2">
      <c r="A14" s="4" t="s">
        <v>384</v>
      </c>
      <c r="B14" s="9" t="s">
        <v>150</v>
      </c>
      <c r="C14" s="29">
        <f>WACC!$C$12*WACC!$C$7+WACC!$C$13*WACC!$C$9</f>
        <v>8.5039948823745798E-2</v>
      </c>
      <c r="D14" s="2"/>
    </row>
    <row r="15" spans="1:4" x14ac:dyDescent="0.2">
      <c r="A15" s="3" t="s">
        <v>385</v>
      </c>
      <c r="B15" s="9" t="s">
        <v>56</v>
      </c>
      <c r="C15" s="11">
        <f>Metrics!$K$45</f>
        <v>18105</v>
      </c>
      <c r="D15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27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6" customWidth="1"/>
    <col min="2" max="2" width="9" customWidth="1"/>
    <col min="3" max="10" width="11" customWidth="1"/>
    <col min="11" max="11" width="70" customWidth="1"/>
  </cols>
  <sheetData>
    <row r="1" spans="1:11" ht="16" x14ac:dyDescent="0.2">
      <c r="A1" s="1" t="s">
        <v>386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">
      <c r="A3" s="5" t="s">
        <v>387</v>
      </c>
      <c r="B3" s="5" t="s">
        <v>22</v>
      </c>
      <c r="C3" s="6" t="s">
        <v>388</v>
      </c>
      <c r="D3" s="6" t="s">
        <v>217</v>
      </c>
      <c r="E3" s="6" t="s">
        <v>218</v>
      </c>
      <c r="F3" s="6" t="s">
        <v>219</v>
      </c>
      <c r="G3" s="6" t="s">
        <v>220</v>
      </c>
      <c r="H3" s="6" t="s">
        <v>221</v>
      </c>
      <c r="I3" s="6" t="s">
        <v>222</v>
      </c>
      <c r="J3" s="6" t="s">
        <v>223</v>
      </c>
      <c r="K3" s="6" t="s">
        <v>33</v>
      </c>
    </row>
    <row r="4" spans="1:11" x14ac:dyDescent="0.2">
      <c r="A4" s="3" t="s">
        <v>142</v>
      </c>
      <c r="B4" s="9" t="s">
        <v>36</v>
      </c>
      <c r="C4" s="11">
        <f>Hist!$I$5</f>
        <v>330284</v>
      </c>
      <c r="D4" s="11">
        <f>DCF!$C$4*(1+Assumptions!$C$28)</f>
        <v>338541.1</v>
      </c>
      <c r="E4" s="11">
        <f>DCF!$D$4*(1+Assumptions!$D$28)</f>
        <v>331770.27799999999</v>
      </c>
      <c r="F4" s="11">
        <f>DCF!$E$4*(1+Assumptions!$E$28)</f>
        <v>338405.68355999998</v>
      </c>
      <c r="G4" s="11">
        <f>DCF!$F$4*(1+Assumptions!$F$28)</f>
        <v>351941.91090239998</v>
      </c>
      <c r="H4" s="11">
        <f>DCF!$G$4*(1+Assumptions!$G$28)</f>
        <v>366019.587338496</v>
      </c>
      <c r="I4" s="11">
        <f>DCF!$H$4*(1+Assumptions!$H$28)</f>
        <v>378830.27289534331</v>
      </c>
      <c r="J4" s="11">
        <f>DCF!$I$4*(1+Assumptions!$I$28)</f>
        <v>390195.18108220364</v>
      </c>
      <c r="K4" s="2"/>
    </row>
    <row r="5" spans="1:11" x14ac:dyDescent="0.2">
      <c r="A5" s="3" t="s">
        <v>389</v>
      </c>
      <c r="B5" s="9" t="s">
        <v>167</v>
      </c>
      <c r="C5" s="16">
        <f>Metrics!$I$13</f>
        <v>14.118152862385099</v>
      </c>
      <c r="D5" s="16">
        <f>DCF!$C$5*(1+Assumptions!$C$15)</f>
        <v>13.976971333761247</v>
      </c>
      <c r="E5" s="16">
        <f>DCF!$D$5*(1+Assumptions!$D$15)</f>
        <v>13.837201620423635</v>
      </c>
      <c r="F5" s="16">
        <f>DCF!$E$5*(1+Assumptions!$E$15)</f>
        <v>13.698829604219398</v>
      </c>
      <c r="G5" s="16">
        <f>DCF!$F$5*(1+Assumptions!$F$15)</f>
        <v>13.561841308177204</v>
      </c>
      <c r="H5" s="16">
        <f>DCF!$G$5*(1+Assumptions!$G$15)</f>
        <v>13.426222895095432</v>
      </c>
      <c r="I5" s="16">
        <f>DCF!$H$5*(1+Assumptions!$H$15)</f>
        <v>13.291960666144478</v>
      </c>
      <c r="J5" s="16">
        <f>DCF!$I$5*(1+Assumptions!$I$15)</f>
        <v>13.159041059483032</v>
      </c>
      <c r="K5" s="2"/>
    </row>
    <row r="6" spans="1:11" x14ac:dyDescent="0.2">
      <c r="A6" s="3" t="s">
        <v>147</v>
      </c>
      <c r="B6" s="9" t="s">
        <v>148</v>
      </c>
      <c r="C6" s="16">
        <f>Hist!$I$9</f>
        <v>2.44</v>
      </c>
      <c r="D6" s="16">
        <f>Assumptions!$C$32</f>
        <v>3.97</v>
      </c>
      <c r="E6" s="16">
        <f>Assumptions!$D$32</f>
        <v>4.0999999999999996</v>
      </c>
      <c r="F6" s="16">
        <f>Assumptions!$E$32</f>
        <v>3.4</v>
      </c>
      <c r="G6" s="16">
        <f>Assumptions!$F$32</f>
        <v>3.1</v>
      </c>
      <c r="H6" s="16">
        <f>Assumptions!$G$32</f>
        <v>3.1</v>
      </c>
      <c r="I6" s="16">
        <f>Assumptions!$H$32</f>
        <v>3.1</v>
      </c>
      <c r="J6" s="16">
        <f>Assumptions!$I$32</f>
        <v>3.1</v>
      </c>
      <c r="K6" s="2"/>
    </row>
    <row r="7" spans="1:11" x14ac:dyDescent="0.2">
      <c r="A7" s="3" t="s">
        <v>164</v>
      </c>
      <c r="B7" s="9" t="s">
        <v>42</v>
      </c>
      <c r="C7" s="16">
        <f>DCF!$C$5*DCF!$C$6/10</f>
        <v>3.4448292984219639</v>
      </c>
      <c r="D7" s="16">
        <f>DCF!$D$5*DCF!$D$6/10</f>
        <v>5.5488576195032149</v>
      </c>
      <c r="E7" s="16">
        <f>DCF!$E$5*DCF!$E$6/10</f>
        <v>5.67325266437369</v>
      </c>
      <c r="F7" s="16">
        <f>DCF!$F$5*DCF!$F$6/10</f>
        <v>4.6576020654345953</v>
      </c>
      <c r="G7" s="16">
        <f>DCF!$G$5*DCF!$G$6/10</f>
        <v>4.2041708055349334</v>
      </c>
      <c r="H7" s="16">
        <f>DCF!$H$5*DCF!$H$6/10</f>
        <v>4.1621290974795837</v>
      </c>
      <c r="I7" s="16">
        <f>DCF!$I$5*DCF!$I$6/10</f>
        <v>4.1205078065047882</v>
      </c>
      <c r="J7" s="16">
        <f>DCF!$J$5*DCF!$J$6/10</f>
        <v>4.0793027284397407</v>
      </c>
      <c r="K7" s="2"/>
    </row>
    <row r="8" spans="1:11" x14ac:dyDescent="0.2">
      <c r="A8" s="3" t="s">
        <v>390</v>
      </c>
      <c r="B8" s="9" t="s">
        <v>42</v>
      </c>
      <c r="C8" s="16">
        <f>Metrics!$I$8</f>
        <v>17.884608397621442</v>
      </c>
      <c r="D8" s="16">
        <f>DCF!$C$8*(1+Assumptions!$C$29)+Assumptions!$C$30*(DCF!$D$7-DCF!$C$7)</f>
        <v>20.014946264426978</v>
      </c>
      <c r="E8" s="16">
        <f>DCF!$D$8*(1+Assumptions!$D$29)+Assumptions!$D$30*(DCF!$E$7-DCF!$D$7)</f>
        <v>19.088835978127914</v>
      </c>
      <c r="F8" s="16">
        <f>DCF!$E$8*(1+Assumptions!$E$29)+Assumptions!$E$30*(DCF!$F$7-DCF!$E$7)</f>
        <v>19.027627178095216</v>
      </c>
      <c r="G8" s="16">
        <f>DCF!$F$8*(1+Assumptions!$F$29)+Assumptions!$F$30*(DCF!$G$7-DCF!$F$7)</f>
        <v>19.430439141209835</v>
      </c>
      <c r="H8" s="16">
        <f>DCF!$G$8*(1+Assumptions!$G$29)+Assumptions!$G$30*(DCF!$H$7-DCF!$G$7)</f>
        <v>20.068462803096828</v>
      </c>
      <c r="I8" s="16">
        <f>DCF!$H$8*(1+Assumptions!$H$29)+Assumptions!$H$30*(DCF!$I$7-DCF!$H$7)</f>
        <v>20.568690007805646</v>
      </c>
      <c r="J8" s="16">
        <f>DCF!$I$8*(1+Assumptions!$I$29)+Assumptions!$I$30*(DCF!$J$7-DCF!$I$7)</f>
        <v>21.082839559951349</v>
      </c>
      <c r="K8" s="2"/>
    </row>
    <row r="9" spans="1:11" x14ac:dyDescent="0.2">
      <c r="A9" s="4" t="s">
        <v>144</v>
      </c>
      <c r="B9" s="9" t="s">
        <v>56</v>
      </c>
      <c r="C9" s="15">
        <f>Hist!$I$19</f>
        <v>59070</v>
      </c>
      <c r="D9" s="15">
        <f>DCF!$D$4*DCF!$D$8/100</f>
        <v>67758.819247999985</v>
      </c>
      <c r="E9" s="15">
        <f>DCF!$E$4*DCF!$E$8/100</f>
        <v>63331.084191598995</v>
      </c>
      <c r="F9" s="15">
        <f>DCF!$F$4*DCF!$F$8/100</f>
        <v>64390.571817281452</v>
      </c>
      <c r="G9" s="15">
        <f>DCF!$G$4*DCF!$G$8/100</f>
        <v>68383.858810301768</v>
      </c>
      <c r="H9" s="15">
        <f>DCF!$H$4*DCF!$H$8/100</f>
        <v>73454.504737074574</v>
      </c>
      <c r="I9" s="15">
        <f>DCF!$I$4*DCF!$I$8/100</f>
        <v>77920.424487567332</v>
      </c>
      <c r="J9" s="15">
        <f>DCF!$J$4*DCF!$J$8/100</f>
        <v>82264.223998222631</v>
      </c>
      <c r="K9" s="2"/>
    </row>
    <row r="10" spans="1:11" x14ac:dyDescent="0.2">
      <c r="A10" s="3" t="s">
        <v>146</v>
      </c>
      <c r="B10" s="9" t="s">
        <v>42</v>
      </c>
      <c r="C10" s="16">
        <f>Metrics!$I$10</f>
        <v>12.64</v>
      </c>
      <c r="D10" s="16">
        <f>DCF!$C$10*(1+Assumptions!$C$31)</f>
        <v>13.3352</v>
      </c>
      <c r="E10" s="16">
        <f>DCF!$D$10*(1+Assumptions!$D$31)</f>
        <v>13.801931999999999</v>
      </c>
      <c r="F10" s="16">
        <f>DCF!$E$10*(1+Assumptions!$E$31)</f>
        <v>13.939951319999999</v>
      </c>
      <c r="G10" s="16">
        <f>DCF!$F$10*(1+Assumptions!$F$31)</f>
        <v>14.149050589799998</v>
      </c>
      <c r="H10" s="16">
        <f>DCF!$G$10*(1+Assumptions!$G$31)</f>
        <v>14.432031601595998</v>
      </c>
      <c r="I10" s="16">
        <f>DCF!$H$10*(1+Assumptions!$H$31)</f>
        <v>14.821696454839088</v>
      </c>
      <c r="J10" s="16">
        <f>DCF!$I$10*(1+Assumptions!$I$31)</f>
        <v>15.221882259119743</v>
      </c>
      <c r="K10" s="2"/>
    </row>
    <row r="11" spans="1:11" x14ac:dyDescent="0.2">
      <c r="A11" s="3" t="s">
        <v>391</v>
      </c>
      <c r="B11" s="9" t="s">
        <v>56</v>
      </c>
      <c r="C11" s="2"/>
      <c r="D11" s="11">
        <f>DCF!$D$4*DCF!$D$10/100</f>
        <v>45145.132767199997</v>
      </c>
      <c r="E11" s="11">
        <f>DCF!$E$4*DCF!$E$10/100</f>
        <v>45790.708165770957</v>
      </c>
      <c r="F11" s="11">
        <f>DCF!$F$4*DCF!$F$10/100</f>
        <v>47173.587552377234</v>
      </c>
      <c r="G11" s="11">
        <f>DCF!$G$4*DCF!$G$10/100</f>
        <v>49796.439020289406</v>
      </c>
      <c r="H11" s="11">
        <f>DCF!$H$4*DCF!$H$10/100</f>
        <v>52824.062512723009</v>
      </c>
      <c r="I11" s="11">
        <f>DCF!$I$4*DCF!$I$10/100</f>
        <v>56149.073127586351</v>
      </c>
      <c r="J11" s="11">
        <f>DCF!$J$4*DCF!$J$10/100</f>
        <v>59395.051045092114</v>
      </c>
      <c r="K11" s="2"/>
    </row>
    <row r="12" spans="1:11" x14ac:dyDescent="0.2">
      <c r="A12" s="3" t="s">
        <v>392</v>
      </c>
      <c r="B12" s="9" t="s">
        <v>56</v>
      </c>
      <c r="C12" s="2"/>
      <c r="D12" s="11">
        <f>DCF!$D$4*DCF!$D$7/100</f>
        <v>18785.163622499997</v>
      </c>
      <c r="E12" s="11">
        <f>DCF!$E$4*DCF!$E$7/100</f>
        <v>18822.166136234999</v>
      </c>
      <c r="F12" s="11">
        <f>DCF!$F$4*DCF!$F$7/100</f>
        <v>15761.590107038619</v>
      </c>
      <c r="G12" s="11">
        <f>DCF!$G$4*DCF!$G$7/100</f>
        <v>14796.239070600466</v>
      </c>
      <c r="H12" s="11">
        <f>DCF!$H$4*DCF!$H$7/100</f>
        <v>15234.20774709024</v>
      </c>
      <c r="I12" s="11">
        <f>DCF!$I$4*DCF!$I$7/100</f>
        <v>15609.730968056014</v>
      </c>
      <c r="J12" s="11">
        <f>DCF!$J$4*DCF!$J$7/100</f>
        <v>15917.242668126719</v>
      </c>
      <c r="K12" s="2"/>
    </row>
    <row r="13" spans="1:11" x14ac:dyDescent="0.2">
      <c r="A13" s="3" t="s">
        <v>393</v>
      </c>
      <c r="B13" s="9" t="s">
        <v>56</v>
      </c>
      <c r="C13" s="2"/>
      <c r="D13" s="11">
        <f>DCF!$D$9*Assumptions!$C$16</f>
        <v>304.91468661599993</v>
      </c>
      <c r="E13" s="11">
        <f>DCF!$E$9*Assumptions!$D$16</f>
        <v>284.98987886219544</v>
      </c>
      <c r="F13" s="11">
        <f>DCF!$F$9*Assumptions!$E$16</f>
        <v>289.75757317776652</v>
      </c>
      <c r="G13" s="11">
        <f>DCF!$G$9*Assumptions!$F$16</f>
        <v>307.72736464635796</v>
      </c>
      <c r="H13" s="11">
        <f>DCF!$H$9*Assumptions!$G$16</f>
        <v>330.54527131683557</v>
      </c>
      <c r="I13" s="11">
        <f>DCF!$I$9*Assumptions!$H$16</f>
        <v>350.64191019405297</v>
      </c>
      <c r="J13" s="11">
        <f>DCF!$J$9*Assumptions!$I$16</f>
        <v>370.18900799200179</v>
      </c>
      <c r="K13" s="2"/>
    </row>
    <row r="14" spans="1:11" x14ac:dyDescent="0.2">
      <c r="A14" s="3" t="s">
        <v>394</v>
      </c>
      <c r="B14" s="9" t="s">
        <v>56</v>
      </c>
      <c r="C14" s="2"/>
      <c r="D14" s="11">
        <f>DCF!$D$9-DCF!$D$11-DCF!$D$12-DCF!$D$13</f>
        <v>3523.6081716839917</v>
      </c>
      <c r="E14" s="11">
        <f>DCF!$E$9-DCF!$E$11-DCF!$E$12-DCF!$E$13</f>
        <v>-1566.779989269156</v>
      </c>
      <c r="F14" s="11">
        <f>DCF!$F$9-DCF!$F$11-DCF!$F$12-DCF!$F$13</f>
        <v>1165.636584687833</v>
      </c>
      <c r="G14" s="11">
        <f>DCF!$G$9-DCF!$G$11-DCF!$G$12-DCF!$G$13</f>
        <v>3483.4533547655374</v>
      </c>
      <c r="H14" s="11">
        <f>DCF!$H$9-DCF!$H$11-DCF!$H$12-DCF!$H$13</f>
        <v>5065.6892059444899</v>
      </c>
      <c r="I14" s="11">
        <f>DCF!$I$9-DCF!$I$11-DCF!$I$12-DCF!$I$13</f>
        <v>5810.9784817309146</v>
      </c>
      <c r="J14" s="11">
        <f>DCF!$J$9-DCF!$J$11-DCF!$J$12-DCF!$J$13</f>
        <v>6581.7412770117962</v>
      </c>
      <c r="K14" s="2"/>
    </row>
    <row r="15" spans="1:11" x14ac:dyDescent="0.2">
      <c r="A15" s="3" t="s">
        <v>250</v>
      </c>
      <c r="B15" s="9" t="s">
        <v>56</v>
      </c>
      <c r="C15" s="2"/>
      <c r="D15" s="11">
        <f>MAX(0,DCF!$D$14)*Assumptions!$C$17</f>
        <v>422.83298060207898</v>
      </c>
      <c r="E15" s="11">
        <f>MAX(0,DCF!$E$14)*Assumptions!$D$17</f>
        <v>0</v>
      </c>
      <c r="F15" s="11">
        <f>MAX(0,DCF!$F$14)*Assumptions!$E$17</f>
        <v>139.87639016253996</v>
      </c>
      <c r="G15" s="11">
        <f>MAX(0,DCF!$G$14)*Assumptions!$F$17</f>
        <v>418.01440257186448</v>
      </c>
      <c r="H15" s="11">
        <f>MAX(0,DCF!$H$14)*Assumptions!$G$17</f>
        <v>607.88270471333874</v>
      </c>
      <c r="I15" s="11">
        <f>MAX(0,DCF!$I$14)*Assumptions!$H$17</f>
        <v>697.31741780770972</v>
      </c>
      <c r="J15" s="11">
        <f>MAX(0,DCF!$J$14)*Assumptions!$I$17</f>
        <v>789.80895324141557</v>
      </c>
      <c r="K15" s="2"/>
    </row>
    <row r="16" spans="1:11" x14ac:dyDescent="0.2">
      <c r="A16" s="4" t="s">
        <v>395</v>
      </c>
      <c r="B16" s="9" t="s">
        <v>56</v>
      </c>
      <c r="C16" s="15">
        <f>Hist!$I$31</f>
        <v>4972</v>
      </c>
      <c r="D16" s="15">
        <f>DCF!$D$14-DCF!$D$15</f>
        <v>3100.7751910819129</v>
      </c>
      <c r="E16" s="15">
        <f>DCF!$E$14-DCF!$E$15</f>
        <v>-1566.779989269156</v>
      </c>
      <c r="F16" s="15">
        <f>DCF!$F$14-DCF!$F$15</f>
        <v>1025.7601945252929</v>
      </c>
      <c r="G16" s="15">
        <f>DCF!$G$14-DCF!$G$15</f>
        <v>3065.4389521936728</v>
      </c>
      <c r="H16" s="15">
        <f>DCF!$H$14-DCF!$H$15</f>
        <v>4457.8065012311508</v>
      </c>
      <c r="I16" s="15">
        <f>DCF!$I$14-DCF!$I$15</f>
        <v>5113.6610639232049</v>
      </c>
      <c r="J16" s="15">
        <f>DCF!$J$14-DCF!$J$15</f>
        <v>5791.9323237703811</v>
      </c>
      <c r="K16" s="2"/>
    </row>
    <row r="17" spans="1:11" x14ac:dyDescent="0.2">
      <c r="A17" s="3" t="s">
        <v>149</v>
      </c>
      <c r="B17" s="9" t="s">
        <v>150</v>
      </c>
      <c r="C17" s="19">
        <f>DCF!$C$16/DCF!$C$9</f>
        <v>8.417132216014897E-2</v>
      </c>
      <c r="D17" s="19">
        <f>DCF!$D$16/DCF!$D$9</f>
        <v>4.5761942511615382E-2</v>
      </c>
      <c r="E17" s="19">
        <f>DCF!$E$16/DCF!$E$9</f>
        <v>-2.4739509977897912E-2</v>
      </c>
      <c r="F17" s="19">
        <f>DCF!$F$16/DCF!$F$9</f>
        <v>1.5930285530559529E-2</v>
      </c>
      <c r="G17" s="19">
        <f>DCF!$G$16/DCF!$G$9</f>
        <v>4.4826937314217136E-2</v>
      </c>
      <c r="H17" s="19">
        <f>DCF!$H$16/DCF!$H$9</f>
        <v>6.0687993434678615E-2</v>
      </c>
      <c r="I17" s="19">
        <f>DCF!$I$16/DCF!$I$9</f>
        <v>6.5626709525165888E-2</v>
      </c>
      <c r="J17" s="19">
        <f>DCF!$J$16/DCF!$J$9</f>
        <v>7.0406454255199924E-2</v>
      </c>
      <c r="K17" s="2"/>
    </row>
    <row r="18" spans="1:11" x14ac:dyDescent="0.2">
      <c r="A18" s="3" t="s">
        <v>253</v>
      </c>
      <c r="B18" s="9" t="s">
        <v>56</v>
      </c>
      <c r="C18" s="11">
        <f>Hist!$I$26</f>
        <v>2939</v>
      </c>
      <c r="D18" s="11">
        <f>DCF!$D$9*Assumptions!$C$18</f>
        <v>3252.4233239039995</v>
      </c>
      <c r="E18" s="11">
        <f>DCF!$E$9*Assumptions!$D$18</f>
        <v>3039.892041196752</v>
      </c>
      <c r="F18" s="11">
        <f>DCF!$F$9*Assumptions!$E$18</f>
        <v>3090.7474472295098</v>
      </c>
      <c r="G18" s="11">
        <f>DCF!$G$9*Assumptions!$F$18</f>
        <v>3282.4252228944852</v>
      </c>
      <c r="H18" s="11">
        <f>DCF!$H$9*Assumptions!$G$18</f>
        <v>3525.8162273795797</v>
      </c>
      <c r="I18" s="11">
        <f>DCF!$I$9*Assumptions!$H$18</f>
        <v>3740.1803754032321</v>
      </c>
      <c r="J18" s="11">
        <f>DCF!$J$9*Assumptions!$I$18</f>
        <v>3948.6827519146864</v>
      </c>
      <c r="K18" s="2"/>
    </row>
    <row r="19" spans="1:11" x14ac:dyDescent="0.2">
      <c r="A19" s="3" t="s">
        <v>396</v>
      </c>
      <c r="B19" s="9" t="s">
        <v>56</v>
      </c>
      <c r="C19" s="11">
        <f>Metrics!$I$31</f>
        <v>8970</v>
      </c>
      <c r="D19" s="11">
        <f>DCF!$D$16+DCF!$D$18+DCF!$D$9*Assumptions!$C$19</f>
        <v>7403.4602133299122</v>
      </c>
      <c r="E19" s="11">
        <f>DCF!$E$16+DCF!$E$18+DCF!$E$9*Assumptions!$D$19</f>
        <v>2454.7438568973803</v>
      </c>
      <c r="F19" s="11">
        <f>DCF!$F$16+DCF!$F$18+DCF!$F$9*Assumptions!$E$19</f>
        <v>5114.5615049226653</v>
      </c>
      <c r="G19" s="11">
        <f>DCF!$G$16+DCF!$G$18+DCF!$G$9*Assumptions!$F$19</f>
        <v>7407.813986647835</v>
      </c>
      <c r="H19" s="11">
        <f>DCF!$H$16+DCF!$H$18+DCF!$H$9*Assumptions!$G$19</f>
        <v>9122.1675520353856</v>
      </c>
      <c r="I19" s="11">
        <f>DCF!$I$16+DCF!$I$18+DCF!$I$9*Assumptions!$H$19</f>
        <v>10061.608018883731</v>
      </c>
      <c r="J19" s="11">
        <f>DCF!$J$16+DCF!$J$18+DCF!$J$9*Assumptions!$I$19</f>
        <v>11015.710547657518</v>
      </c>
      <c r="K19" s="2"/>
    </row>
    <row r="20" spans="1:11" x14ac:dyDescent="0.2">
      <c r="A20" s="3" t="s">
        <v>397</v>
      </c>
      <c r="B20" s="9" t="s">
        <v>56</v>
      </c>
      <c r="C20" s="2"/>
      <c r="D20" s="11">
        <f>Hist!$K$51</f>
        <v>7204</v>
      </c>
      <c r="E20" s="11">
        <f>DCF!$D$20*(1+Assumptions!$D$28)</f>
        <v>7059.92</v>
      </c>
      <c r="F20" s="11">
        <f>DCF!$E$20*(1+Assumptions!$E$28)</f>
        <v>7201.1184000000003</v>
      </c>
      <c r="G20" s="11">
        <f>DCF!$F$20*(1+Assumptions!$F$28)</f>
        <v>7489.1631360000001</v>
      </c>
      <c r="H20" s="11">
        <f>DCF!$G$20*(1+Assumptions!$G$28)</f>
        <v>7788.7296614400002</v>
      </c>
      <c r="I20" s="11">
        <f>DCF!$H$20*(1+Assumptions!$H$28)</f>
        <v>8061.3351995903995</v>
      </c>
      <c r="J20" s="11">
        <f>DCF!$I$20*(1+Assumptions!$I$28)</f>
        <v>8303.1752555781113</v>
      </c>
      <c r="K20" s="2"/>
    </row>
    <row r="21" spans="1:11" x14ac:dyDescent="0.2">
      <c r="A21" s="3" t="s">
        <v>398</v>
      </c>
      <c r="B21" s="9" t="s">
        <v>56</v>
      </c>
      <c r="C21" s="2"/>
      <c r="D21" s="11">
        <f>DCF!$D$20*Assumptions!$C$20</f>
        <v>468.26</v>
      </c>
      <c r="E21" s="11">
        <f>DCF!$E$20*Assumptions!$C$20</f>
        <v>458.89480000000003</v>
      </c>
      <c r="F21" s="11">
        <f>DCF!$F$20*Assumptions!$C$20</f>
        <v>468.07269600000001</v>
      </c>
      <c r="G21" s="11">
        <f>DCF!$G$20*Assumptions!$C$20</f>
        <v>486.79560384000001</v>
      </c>
      <c r="H21" s="11">
        <f>DCF!$H$20*Assumptions!$C$20</f>
        <v>506.26742799360005</v>
      </c>
      <c r="I21" s="11">
        <f>DCF!$I$20*Assumptions!$C$20</f>
        <v>523.98678797337595</v>
      </c>
      <c r="J21" s="11">
        <f>DCF!$J$20*Assumptions!$C$20</f>
        <v>539.70639161257725</v>
      </c>
      <c r="K21" s="2"/>
    </row>
    <row r="22" spans="1:11" x14ac:dyDescent="0.2">
      <c r="A22" s="3" t="s">
        <v>399</v>
      </c>
      <c r="B22" s="9" t="s">
        <v>56</v>
      </c>
      <c r="C22" s="2"/>
      <c r="D22" s="11">
        <f>(DCF!$D$16+DCF!$D$21)*(1-Assumptions!$C$10)</f>
        <v>2783.8474490438921</v>
      </c>
      <c r="E22" s="11">
        <f>(DCF!$E$16+DCF!$E$21)*(1-Assumptions!$C$10)</f>
        <v>-864.15044762994171</v>
      </c>
      <c r="F22" s="11">
        <f>(DCF!$F$16+DCF!$F$21)*(1-Assumptions!$C$10)</f>
        <v>1165.1896546097284</v>
      </c>
      <c r="G22" s="11">
        <f>(DCF!$G$16+DCF!$G$21)*(1-Assumptions!$C$10)</f>
        <v>2770.7429537062649</v>
      </c>
      <c r="H22" s="11">
        <f>(DCF!$H$16+DCF!$H$21)*(1-Assumptions!$C$10)</f>
        <v>3871.9776647953058</v>
      </c>
      <c r="I22" s="11">
        <f>(DCF!$I$16+DCF!$I$21)*(1-Assumptions!$C$10)</f>
        <v>4397.3653244793331</v>
      </c>
      <c r="J22" s="11">
        <f>(DCF!$J$16+DCF!$J$21)*(1-Assumptions!$C$10)</f>
        <v>4938.6781979987072</v>
      </c>
      <c r="K22" s="2"/>
    </row>
    <row r="23" spans="1:11" x14ac:dyDescent="0.2">
      <c r="A23" s="3" t="s">
        <v>278</v>
      </c>
      <c r="B23" s="9" t="s">
        <v>56</v>
      </c>
      <c r="C23" s="2"/>
      <c r="D23" s="11">
        <f>Assumptions!$C$23</f>
        <v>7500</v>
      </c>
      <c r="E23" s="11">
        <f>DCF!$E$9*Assumptions!$D$33</f>
        <v>5066.4867353279196</v>
      </c>
      <c r="F23" s="11">
        <f>DCF!$F$9*Assumptions!$E$33</f>
        <v>5151.2457453825164</v>
      </c>
      <c r="G23" s="11">
        <f>DCF!$G$9*Assumptions!$F$33</f>
        <v>6154.5472929271591</v>
      </c>
      <c r="H23" s="11">
        <f>DCF!$H$9*Assumptions!$G$33</f>
        <v>7345.4504737074576</v>
      </c>
      <c r="I23" s="11">
        <f>DCF!$I$9*Assumptions!$H$33</f>
        <v>7792.0424487567334</v>
      </c>
      <c r="J23" s="11">
        <f>DCF!$J$9*Assumptions!$I$33</f>
        <v>8226.4223998222642</v>
      </c>
      <c r="K23" s="2"/>
    </row>
    <row r="24" spans="1:11" x14ac:dyDescent="0.2">
      <c r="A24" s="3" t="s">
        <v>400</v>
      </c>
      <c r="B24" s="9" t="s">
        <v>56</v>
      </c>
      <c r="C24" s="2"/>
      <c r="D24" s="11">
        <f>(DCF!$D$9-DCF!$C$9)*Assumptions!$C$21</f>
        <v>868.88192479999861</v>
      </c>
      <c r="E24" s="11">
        <f>(DCF!$E$9-DCF!$D$9)*Assumptions!$D$21</f>
        <v>-442.77350564009907</v>
      </c>
      <c r="F24" s="11">
        <f>(DCF!$F$9-DCF!$E$9)*Assumptions!$E$21</f>
        <v>105.94876256824574</v>
      </c>
      <c r="G24" s="11">
        <f>(DCF!$G$9-DCF!$F$9)*Assumptions!$F$21</f>
        <v>399.32869930203162</v>
      </c>
      <c r="H24" s="11">
        <f>(DCF!$H$9-DCF!$G$9)*Assumptions!$G$21</f>
        <v>507.06459267728064</v>
      </c>
      <c r="I24" s="11">
        <f>(DCF!$I$9-DCF!$H$9)*Assumptions!$H$21</f>
        <v>446.59197504927579</v>
      </c>
      <c r="J24" s="11">
        <f>(DCF!$J$9-DCF!$I$9)*Assumptions!$I$21</f>
        <v>434.37995106552989</v>
      </c>
      <c r="K24" s="2"/>
    </row>
    <row r="25" spans="1:11" x14ac:dyDescent="0.2">
      <c r="A25" s="4" t="s">
        <v>401</v>
      </c>
      <c r="B25" s="9" t="s">
        <v>56</v>
      </c>
      <c r="C25" s="2"/>
      <c r="D25" s="15">
        <f>DCF!$D$22+DCF!$D$18-DCF!$D$23+DCF!$D$24</f>
        <v>-594.84730225210978</v>
      </c>
      <c r="E25" s="15">
        <f>DCF!$E$22+DCF!$E$18-DCF!$E$23+DCF!$E$24</f>
        <v>-3333.518647401208</v>
      </c>
      <c r="F25" s="15">
        <f>DCF!$F$22+DCF!$F$18-DCF!$F$23+DCF!$F$24</f>
        <v>-789.35988097503218</v>
      </c>
      <c r="G25" s="15">
        <f>DCF!$G$22+DCF!$G$18-DCF!$G$23+DCF!$G$24</f>
        <v>297.94958297562209</v>
      </c>
      <c r="H25" s="15">
        <f>DCF!$H$22+DCF!$H$18-DCF!$H$23+DCF!$H$24</f>
        <v>559.40801114470855</v>
      </c>
      <c r="I25" s="15">
        <f>DCF!$I$22+DCF!$I$18-DCF!$I$23+DCF!$I$24</f>
        <v>792.0952261751072</v>
      </c>
      <c r="J25" s="15">
        <f>DCF!$J$22+DCF!$J$18-DCF!$J$23+DCF!$J$24</f>
        <v>1095.3185011566584</v>
      </c>
      <c r="K25" s="2"/>
    </row>
    <row r="26" spans="1:11" x14ac:dyDescent="0.2">
      <c r="A26" s="3" t="s">
        <v>402</v>
      </c>
      <c r="B26" s="9" t="s">
        <v>56</v>
      </c>
      <c r="C26" s="2"/>
      <c r="D26" s="11">
        <f>DCF!$D$25-Assumptions!$C$12</f>
        <v>-4032.7873022521098</v>
      </c>
      <c r="E26" s="11">
        <f>DCF!$E$25</f>
        <v>-3333.518647401208</v>
      </c>
      <c r="F26" s="11">
        <f>DCF!$F$25</f>
        <v>-789.35988097503218</v>
      </c>
      <c r="G26" s="11">
        <f>DCF!$G$25</f>
        <v>297.94958297562209</v>
      </c>
      <c r="H26" s="11">
        <f>DCF!$H$25</f>
        <v>559.40801114470855</v>
      </c>
      <c r="I26" s="11">
        <f>DCF!$I$25</f>
        <v>792.0952261751072</v>
      </c>
      <c r="J26" s="11">
        <f>DCF!$J$25</f>
        <v>1095.3185011566584</v>
      </c>
      <c r="K26" s="2"/>
    </row>
    <row r="27" spans="1:11" x14ac:dyDescent="0.2">
      <c r="A27" s="3" t="s">
        <v>403</v>
      </c>
      <c r="B27" s="9" t="s">
        <v>404</v>
      </c>
      <c r="C27" s="2"/>
      <c r="D27" s="12">
        <v>0.25</v>
      </c>
      <c r="E27" s="12">
        <v>1</v>
      </c>
      <c r="F27" s="12">
        <v>2</v>
      </c>
      <c r="G27" s="12">
        <v>3</v>
      </c>
      <c r="H27" s="12">
        <v>4</v>
      </c>
      <c r="I27" s="12">
        <v>5</v>
      </c>
      <c r="J27" s="12">
        <v>6</v>
      </c>
      <c r="K27" s="9" t="s">
        <v>405</v>
      </c>
    </row>
    <row r="28" spans="1:11" x14ac:dyDescent="0.2">
      <c r="A28" s="3" t="s">
        <v>406</v>
      </c>
      <c r="B28" s="9" t="s">
        <v>192</v>
      </c>
      <c r="C28" s="2"/>
      <c r="D28" s="30">
        <f>1/(1+WACC!$C$14)^DCF!$D$27</f>
        <v>0.97980255571454589</v>
      </c>
      <c r="E28" s="30">
        <f>1/(1+WACC!$C$14)^DCF!$E$27</f>
        <v>0.92162505268498662</v>
      </c>
      <c r="F28" s="30">
        <f>1/(1+WACC!$C$14)^DCF!$F$27</f>
        <v>0.8493927377366044</v>
      </c>
      <c r="G28" s="30">
        <f>1/(1+WACC!$C$14)^DCF!$G$27</f>
        <v>0.78282162666674304</v>
      </c>
      <c r="H28" s="30">
        <f>1/(1+WACC!$C$14)^DCF!$H$27</f>
        <v>0.72146802291968404</v>
      </c>
      <c r="I28" s="30">
        <f>1/(1+WACC!$C$14)^DCF!$I$27</f>
        <v>0.66492300463388687</v>
      </c>
      <c r="J28" s="30">
        <f>1/(1+WACC!$C$14)^DCF!$J$27</f>
        <v>0.61280969917716566</v>
      </c>
      <c r="K28" s="2"/>
    </row>
    <row r="29" spans="1:11" x14ac:dyDescent="0.2">
      <c r="A29" s="3" t="s">
        <v>407</v>
      </c>
      <c r="B29" s="9" t="s">
        <v>56</v>
      </c>
      <c r="C29" s="2"/>
      <c r="D29" s="11">
        <f>DCF!$D$26*DCF!$D$28</f>
        <v>-3951.3353053997862</v>
      </c>
      <c r="E29" s="11">
        <f>DCF!$E$26*DCF!$E$28</f>
        <v>-3072.2542990375237</v>
      </c>
      <c r="F29" s="11">
        <f>DCF!$F$26*DCF!$F$28</f>
        <v>-670.47655036082278</v>
      </c>
      <c r="G29" s="11">
        <f>DCF!$G$26*DCF!$G$28</f>
        <v>233.24137720965422</v>
      </c>
      <c r="H29" s="11">
        <f>DCF!$H$26*DCF!$H$28</f>
        <v>403.59499180600545</v>
      </c>
      <c r="I29" s="11">
        <f>DCF!$I$26*DCF!$I$28</f>
        <v>526.68233774451051</v>
      </c>
      <c r="J29" s="11">
        <f>DCF!$J$26*DCF!$J$28</f>
        <v>671.22180119699578</v>
      </c>
      <c r="K29" s="2"/>
    </row>
    <row r="30" spans="1:11" x14ac:dyDescent="0.2">
      <c r="A30" s="3" t="s">
        <v>408</v>
      </c>
      <c r="B30" s="9" t="s">
        <v>91</v>
      </c>
      <c r="C30" s="2"/>
      <c r="D30" s="16">
        <f>(DCF!$D$16-Assumptions!$C$22)*(1-Assumptions!$C$10)/Assumptions!$C$6</f>
        <v>6.0918697153824004</v>
      </c>
      <c r="E30" s="16">
        <f>(DCF!$E$16-Assumptions!$D$22)*(1-Assumptions!$C$10)/Assumptions!$C$6</f>
        <v>-5.0553839302815113</v>
      </c>
      <c r="F30" s="16">
        <f>(DCF!$F$16-Assumptions!$E$22)*(1-Assumptions!$C$10)/Assumptions!$C$6</f>
        <v>1.1362307156452189</v>
      </c>
      <c r="G30" s="16">
        <f>(DCF!$G$16-Assumptions!$F$22)*(1-Assumptions!$C$10)/Assumptions!$C$6</f>
        <v>6.0074782079334499</v>
      </c>
      <c r="H30" s="16">
        <f>(DCF!$H$16-Assumptions!$G$22)*(1-Assumptions!$C$10)/Assumptions!$C$6</f>
        <v>9.3327895620339785</v>
      </c>
      <c r="I30" s="16">
        <f>(DCF!$I$16-Assumptions!$H$22)*(1-Assumptions!$C$10)/Assumptions!$C$6</f>
        <v>10.899129301469992</v>
      </c>
      <c r="J30" s="16">
        <f>(DCF!$J$16-Assumptions!$I$22)*(1-Assumptions!$C$10)/Assumptions!$C$6</f>
        <v>12.519005549727179</v>
      </c>
      <c r="K30" s="2"/>
    </row>
    <row r="31" spans="1:11" x14ac:dyDescent="0.2">
      <c r="A31" s="3" t="s">
        <v>409</v>
      </c>
      <c r="B31" s="9" t="s">
        <v>56</v>
      </c>
      <c r="C31" s="2"/>
      <c r="D31" s="2"/>
      <c r="E31" s="2"/>
      <c r="F31" s="2"/>
      <c r="G31" s="2"/>
      <c r="H31" s="2"/>
      <c r="I31" s="2"/>
      <c r="J31" s="11">
        <f>SUM(D29:J29)</f>
        <v>-5859.3256468409672</v>
      </c>
      <c r="K31" s="2"/>
    </row>
    <row r="32" spans="1:11" x14ac:dyDescent="0.2">
      <c r="A32" s="3" t="s">
        <v>410</v>
      </c>
      <c r="B32" s="9" t="s">
        <v>56</v>
      </c>
      <c r="C32" s="2"/>
      <c r="D32" s="2"/>
      <c r="E32" s="2"/>
      <c r="F32" s="2"/>
      <c r="G32" s="2"/>
      <c r="H32" s="2"/>
      <c r="I32" s="2"/>
      <c r="J32" s="11">
        <f>DCF!$J$22*(1+Assumptions!$C$24)*(1-Assumptions!$C$24/Assumptions!$C$25)/(WACC!$C$14-Assumptions!$C$24)</f>
        <v>63234.711872538232</v>
      </c>
      <c r="K32" s="2"/>
    </row>
    <row r="33" spans="1:11" x14ac:dyDescent="0.2">
      <c r="A33" s="3" t="s">
        <v>411</v>
      </c>
      <c r="B33" s="9" t="s">
        <v>192</v>
      </c>
      <c r="C33" s="2"/>
      <c r="D33" s="2"/>
      <c r="E33" s="2"/>
      <c r="F33" s="2"/>
      <c r="G33" s="2"/>
      <c r="H33" s="2"/>
      <c r="I33" s="2"/>
      <c r="J33" s="14">
        <f>Multiples!$C$51</f>
        <v>4.6083933620159803</v>
      </c>
      <c r="K33" s="9" t="s">
        <v>412</v>
      </c>
    </row>
    <row r="34" spans="1:11" x14ac:dyDescent="0.2">
      <c r="A34" s="3" t="s">
        <v>413</v>
      </c>
      <c r="B34" s="9" t="s">
        <v>56</v>
      </c>
      <c r="C34" s="2"/>
      <c r="D34" s="2"/>
      <c r="E34" s="2"/>
      <c r="F34" s="2"/>
      <c r="G34" s="2"/>
      <c r="H34" s="2"/>
      <c r="I34" s="2"/>
      <c r="J34" s="11">
        <f>DCF!$J$33*DCF!$J$19</f>
        <v>50764.727365714323</v>
      </c>
      <c r="K34" s="2"/>
    </row>
    <row r="35" spans="1:11" x14ac:dyDescent="0.2">
      <c r="A35" s="3" t="s">
        <v>414</v>
      </c>
      <c r="B35" s="9" t="s">
        <v>192</v>
      </c>
      <c r="C35" s="2"/>
      <c r="D35" s="2"/>
      <c r="E35" s="2"/>
      <c r="F35" s="2"/>
      <c r="G35" s="2"/>
      <c r="H35" s="2"/>
      <c r="I35" s="2"/>
      <c r="J35" s="30">
        <f>1/(1+WACC!$C$14)^6.5</f>
        <v>0.58830530726425412</v>
      </c>
      <c r="K35" s="2"/>
    </row>
    <row r="36" spans="1:11" x14ac:dyDescent="0.2">
      <c r="A36" s="3" t="s">
        <v>415</v>
      </c>
      <c r="B36" s="9" t="s">
        <v>56</v>
      </c>
      <c r="C36" s="2"/>
      <c r="D36" s="2"/>
      <c r="E36" s="2"/>
      <c r="F36" s="2"/>
      <c r="G36" s="2"/>
      <c r="H36" s="2"/>
      <c r="I36" s="2"/>
      <c r="J36" s="11">
        <f>DCF!$J$31+DCF!$J$32*DCF!$J$35</f>
        <v>31341.990951099215</v>
      </c>
      <c r="K36" s="2"/>
    </row>
    <row r="37" spans="1:11" x14ac:dyDescent="0.2">
      <c r="A37" s="3" t="s">
        <v>416</v>
      </c>
      <c r="B37" s="9" t="s">
        <v>56</v>
      </c>
      <c r="C37" s="2"/>
      <c r="D37" s="2"/>
      <c r="E37" s="2"/>
      <c r="F37" s="2"/>
      <c r="G37" s="2"/>
      <c r="H37" s="2"/>
      <c r="I37" s="2"/>
      <c r="J37" s="11">
        <f>DCF!$J$31+DCF!$J$34*DCF!$J$35</f>
        <v>24005.832884231688</v>
      </c>
      <c r="K37" s="2"/>
    </row>
    <row r="38" spans="1:11" x14ac:dyDescent="0.2">
      <c r="A38" s="3" t="s">
        <v>417</v>
      </c>
      <c r="B38" s="9" t="s">
        <v>150</v>
      </c>
      <c r="C38" s="2"/>
      <c r="D38" s="2"/>
      <c r="E38" s="2"/>
      <c r="F38" s="2"/>
      <c r="G38" s="2"/>
      <c r="H38" s="2"/>
      <c r="I38" s="2"/>
      <c r="J38" s="22">
        <f>DCF!$J$32*DCF!$J$35/DCF!$J$36</f>
        <v>1.1869480996272022</v>
      </c>
      <c r="K38" s="2"/>
    </row>
    <row r="39" spans="1:11" x14ac:dyDescent="0.2">
      <c r="A39" s="3" t="s">
        <v>418</v>
      </c>
      <c r="B39" s="9" t="s">
        <v>91</v>
      </c>
      <c r="C39" s="2"/>
      <c r="D39" s="2"/>
      <c r="E39" s="2"/>
      <c r="F39" s="2"/>
      <c r="G39" s="2"/>
      <c r="H39" s="2"/>
      <c r="I39" s="2"/>
      <c r="J39" s="16">
        <f>(DCF!$J$36-WACC!$C$15+Assumptions!$C$11)/Assumptions!$C$6</f>
        <v>46.65337094641523</v>
      </c>
      <c r="K39" s="2"/>
    </row>
    <row r="40" spans="1:11" x14ac:dyDescent="0.2">
      <c r="A40" s="3" t="s">
        <v>419</v>
      </c>
      <c r="B40" s="9" t="s">
        <v>91</v>
      </c>
      <c r="C40" s="2"/>
      <c r="D40" s="2"/>
      <c r="E40" s="2"/>
      <c r="F40" s="2"/>
      <c r="G40" s="2"/>
      <c r="H40" s="2"/>
      <c r="I40" s="2"/>
      <c r="J40" s="16">
        <f>(DCF!$J$37-WACC!$C$15+Assumptions!$C$11)/Assumptions!$C$6</f>
        <v>24.191160086441172</v>
      </c>
      <c r="K40" s="2"/>
    </row>
    <row r="41" spans="1:11" x14ac:dyDescent="0.2">
      <c r="A41" s="4" t="s">
        <v>420</v>
      </c>
      <c r="B41" s="9" t="s">
        <v>91</v>
      </c>
      <c r="C41" s="2"/>
      <c r="D41" s="2"/>
      <c r="E41" s="2"/>
      <c r="F41" s="2"/>
      <c r="G41" s="2"/>
      <c r="H41" s="2"/>
      <c r="I41" s="2"/>
      <c r="J41" s="31">
        <f>Assumptions!$C$13*DCF!$J$39+(1-Assumptions!$C$13)*DCF!$J$40</f>
        <v>35.422265516428197</v>
      </c>
      <c r="K41" s="2"/>
    </row>
    <row r="42" spans="1:11" x14ac:dyDescent="0.2">
      <c r="A42" s="3" t="s">
        <v>421</v>
      </c>
      <c r="B42" s="9" t="s">
        <v>192</v>
      </c>
      <c r="C42" s="2"/>
      <c r="D42" s="2"/>
      <c r="E42" s="2"/>
      <c r="F42" s="2"/>
      <c r="G42" s="2"/>
      <c r="H42" s="2"/>
      <c r="I42" s="2"/>
      <c r="J42" s="14">
        <f>DCF!$J$32/DCF!$J$19</f>
        <v>5.7404115330522227</v>
      </c>
      <c r="K42" s="2"/>
    </row>
    <row r="43" spans="1:1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">
      <c r="A44" s="5" t="s">
        <v>422</v>
      </c>
      <c r="B44" s="5" t="s">
        <v>22</v>
      </c>
      <c r="C44" s="6" t="s">
        <v>388</v>
      </c>
      <c r="D44" s="6" t="s">
        <v>217</v>
      </c>
      <c r="E44" s="6" t="s">
        <v>218</v>
      </c>
      <c r="F44" s="6" t="s">
        <v>219</v>
      </c>
      <c r="G44" s="6" t="s">
        <v>220</v>
      </c>
      <c r="H44" s="6" t="s">
        <v>221</v>
      </c>
      <c r="I44" s="6" t="s">
        <v>222</v>
      </c>
      <c r="J44" s="6" t="s">
        <v>223</v>
      </c>
      <c r="K44" s="6" t="s">
        <v>33</v>
      </c>
    </row>
    <row r="45" spans="1:11" x14ac:dyDescent="0.2">
      <c r="A45" s="3" t="s">
        <v>142</v>
      </c>
      <c r="B45" s="9" t="s">
        <v>36</v>
      </c>
      <c r="C45" s="11">
        <f>Hist!$I$5</f>
        <v>330284</v>
      </c>
      <c r="D45" s="11">
        <f>DCF!$C$45*(1+Assumptions!$C$35)</f>
        <v>338541.1</v>
      </c>
      <c r="E45" s="11">
        <f>DCF!$D$45*(1+Assumptions!$D$35)</f>
        <v>352082.74400000001</v>
      </c>
      <c r="F45" s="11">
        <f>DCF!$E$45*(1+Assumptions!$E$35)</f>
        <v>369686.8812</v>
      </c>
      <c r="G45" s="11">
        <f>DCF!$F$45*(1+Assumptions!$F$35)</f>
        <v>388171.22526000004</v>
      </c>
      <c r="H45" s="11">
        <f>DCF!$G$45*(1+Assumptions!$G$35)</f>
        <v>405638.93039669999</v>
      </c>
      <c r="I45" s="11">
        <f>DCF!$H$45*(1+Assumptions!$H$35)</f>
        <v>421864.48761256802</v>
      </c>
      <c r="J45" s="11">
        <f>DCF!$I$45*(1+Assumptions!$I$35)</f>
        <v>436629.74467900785</v>
      </c>
      <c r="K45" s="2"/>
    </row>
    <row r="46" spans="1:11" x14ac:dyDescent="0.2">
      <c r="A46" s="3" t="s">
        <v>389</v>
      </c>
      <c r="B46" s="9" t="s">
        <v>167</v>
      </c>
      <c r="C46" s="16">
        <f>Metrics!$I$13</f>
        <v>14.118152862385099</v>
      </c>
      <c r="D46" s="16">
        <f>DCF!$C$46*(1+Assumptions!$C$15)</f>
        <v>13.976971333761247</v>
      </c>
      <c r="E46" s="16">
        <f>DCF!$D$46*(1+Assumptions!$D$15)</f>
        <v>13.837201620423635</v>
      </c>
      <c r="F46" s="16">
        <f>DCF!$E$46*(1+Assumptions!$E$15)</f>
        <v>13.698829604219398</v>
      </c>
      <c r="G46" s="16">
        <f>DCF!$F$46*(1+Assumptions!$F$15)</f>
        <v>13.561841308177204</v>
      </c>
      <c r="H46" s="16">
        <f>DCF!$G$46*(1+Assumptions!$G$15)</f>
        <v>13.426222895095432</v>
      </c>
      <c r="I46" s="16">
        <f>DCF!$H$46*(1+Assumptions!$H$15)</f>
        <v>13.291960666144478</v>
      </c>
      <c r="J46" s="16">
        <f>DCF!$I$46*(1+Assumptions!$I$15)</f>
        <v>13.159041059483032</v>
      </c>
      <c r="K46" s="2"/>
    </row>
    <row r="47" spans="1:11" x14ac:dyDescent="0.2">
      <c r="A47" s="3" t="s">
        <v>147</v>
      </c>
      <c r="B47" s="9" t="s">
        <v>148</v>
      </c>
      <c r="C47" s="16">
        <f>Hist!$I$9</f>
        <v>2.44</v>
      </c>
      <c r="D47" s="16">
        <f>Assumptions!$C$39</f>
        <v>3.97</v>
      </c>
      <c r="E47" s="16">
        <f>Assumptions!$D$39</f>
        <v>3.3</v>
      </c>
      <c r="F47" s="16">
        <f>Assumptions!$E$39</f>
        <v>3</v>
      </c>
      <c r="G47" s="16">
        <f>Assumptions!$F$39</f>
        <v>2.9</v>
      </c>
      <c r="H47" s="16">
        <f>Assumptions!$G$39</f>
        <v>2.9</v>
      </c>
      <c r="I47" s="16">
        <f>Assumptions!$H$39</f>
        <v>2.95</v>
      </c>
      <c r="J47" s="16">
        <f>Assumptions!$I$39</f>
        <v>3</v>
      </c>
      <c r="K47" s="2"/>
    </row>
    <row r="48" spans="1:11" x14ac:dyDescent="0.2">
      <c r="A48" s="3" t="s">
        <v>164</v>
      </c>
      <c r="B48" s="9" t="s">
        <v>42</v>
      </c>
      <c r="C48" s="16">
        <f>DCF!$C$46*DCF!$C$47/10</f>
        <v>3.4448292984219639</v>
      </c>
      <c r="D48" s="16">
        <f>DCF!$D$46*DCF!$D$47/10</f>
        <v>5.5488576195032149</v>
      </c>
      <c r="E48" s="16">
        <f>DCF!$E$46*DCF!$E$47/10</f>
        <v>4.5662765347397993</v>
      </c>
      <c r="F48" s="16">
        <f>DCF!$F$46*DCF!$F$47/10</f>
        <v>4.1096488812658194</v>
      </c>
      <c r="G48" s="16">
        <f>DCF!$G$46*DCF!$G$47/10</f>
        <v>3.9329339793713891</v>
      </c>
      <c r="H48" s="16">
        <f>DCF!$H$46*DCF!$H$47/10</f>
        <v>3.8936046395776751</v>
      </c>
      <c r="I48" s="16">
        <f>DCF!$I$46*DCF!$I$47/10</f>
        <v>3.9211283965126214</v>
      </c>
      <c r="J48" s="16">
        <f>DCF!$J$46*DCF!$J$47/10</f>
        <v>3.9477123178449096</v>
      </c>
      <c r="K48" s="2"/>
    </row>
    <row r="49" spans="1:11" x14ac:dyDescent="0.2">
      <c r="A49" s="3" t="s">
        <v>390</v>
      </c>
      <c r="B49" s="9" t="s">
        <v>42</v>
      </c>
      <c r="C49" s="16">
        <f>Metrics!$I$8</f>
        <v>17.884608397621442</v>
      </c>
      <c r="D49" s="16">
        <f>DCF!$C$49*(1+Assumptions!$C$36)+Assumptions!$C$37*(DCF!$D$48-DCF!$C$48)</f>
        <v>20.014946264426978</v>
      </c>
      <c r="E49" s="16">
        <f>DCF!$D$49*(1+Assumptions!$D$36)+Assumptions!$D$37*(DCF!$E$48-DCF!$D$48)</f>
        <v>19.678309376142956</v>
      </c>
      <c r="F49" s="16">
        <f>DCF!$E$49*(1+Assumptions!$E$36)+Assumptions!$E$37*(DCF!$F$48-DCF!$E$48)</f>
        <v>19.713639457072549</v>
      </c>
      <c r="G49" s="16">
        <f>DCF!$F$49*(1+Assumptions!$F$36)+Assumptions!$F$37*(DCF!$G$48-DCF!$F$48)</f>
        <v>20.029765541604931</v>
      </c>
      <c r="H49" s="16">
        <f>DCF!$G$49*(1+Assumptions!$G$36)+Assumptions!$G$37*(DCF!$H$48-DCF!$G$48)</f>
        <v>20.491180340351338</v>
      </c>
      <c r="I49" s="16">
        <f>DCF!$H$49*(1+Assumptions!$H$36)+Assumptions!$H$37*(DCF!$I$48-DCF!$H$48)</f>
        <v>21.030983605795068</v>
      </c>
      <c r="J49" s="16">
        <f>DCF!$I$49*(1+Assumptions!$I$36)+Assumptions!$I$37*(DCF!$J$48-DCF!$I$48)</f>
        <v>21.583342117272231</v>
      </c>
      <c r="K49" s="2"/>
    </row>
    <row r="50" spans="1:11" x14ac:dyDescent="0.2">
      <c r="A50" s="4" t="s">
        <v>144</v>
      </c>
      <c r="B50" s="9" t="s">
        <v>56</v>
      </c>
      <c r="C50" s="15">
        <f>Hist!$I$19</f>
        <v>59070</v>
      </c>
      <c r="D50" s="15">
        <f>DCF!$D$45*DCF!$D$49/100</f>
        <v>67758.819247999985</v>
      </c>
      <c r="E50" s="15">
        <f>DCF!$E$45*DCF!$E$49/100</f>
        <v>69283.931624333403</v>
      </c>
      <c r="F50" s="15">
        <f>DCF!$F$45*DCF!$F$49/100</f>
        <v>72878.738879864119</v>
      </c>
      <c r="G50" s="15">
        <f>DCF!$G$45*DCF!$G$49/100</f>
        <v>77749.786319553139</v>
      </c>
      <c r="H50" s="15">
        <f>DCF!$H$45*DCF!$H$49/100</f>
        <v>83120.204758260035</v>
      </c>
      <c r="I50" s="15">
        <f>DCF!$I$45*DCF!$I$49/100</f>
        <v>88722.251228470544</v>
      </c>
      <c r="J50" s="15">
        <f>DCF!$J$45*DCF!$J$49/100</f>
        <v>94239.291579842509</v>
      </c>
      <c r="K50" s="2"/>
    </row>
    <row r="51" spans="1:11" x14ac:dyDescent="0.2">
      <c r="A51" s="3" t="s">
        <v>146</v>
      </c>
      <c r="B51" s="9" t="s">
        <v>42</v>
      </c>
      <c r="C51" s="16">
        <f>Metrics!$I$10</f>
        <v>12.64</v>
      </c>
      <c r="D51" s="16">
        <f>DCF!$C$51*(1+Assumptions!$C$38)</f>
        <v>13.3352</v>
      </c>
      <c r="E51" s="16">
        <f>DCF!$D$51*(1+Assumptions!$D$38)</f>
        <v>13.668579999999999</v>
      </c>
      <c r="F51" s="16">
        <f>DCF!$E$51*(1+Assumptions!$E$38)</f>
        <v>13.941951599999999</v>
      </c>
      <c r="G51" s="16">
        <f>DCF!$F$51*(1+Assumptions!$F$38)</f>
        <v>14.262616486799999</v>
      </c>
      <c r="H51" s="16">
        <f>DCF!$G$51*(1+Assumptions!$G$38)</f>
        <v>14.647707131943598</v>
      </c>
      <c r="I51" s="16">
        <f>DCF!$H$51*(1+Assumptions!$H$38)</f>
        <v>15.043195224506073</v>
      </c>
      <c r="J51" s="16">
        <f>DCF!$I$51*(1+Assumptions!$I$38)</f>
        <v>15.449361495567736</v>
      </c>
      <c r="K51" s="2"/>
    </row>
    <row r="52" spans="1:11" x14ac:dyDescent="0.2">
      <c r="A52" s="3" t="s">
        <v>391</v>
      </c>
      <c r="B52" s="9" t="s">
        <v>56</v>
      </c>
      <c r="C52" s="2"/>
      <c r="D52" s="11">
        <f>DCF!$D$45*DCF!$D$51/100</f>
        <v>45145.132767199997</v>
      </c>
      <c r="E52" s="11">
        <f>DCF!$E$45*DCF!$E$51/100</f>
        <v>48124.711529835193</v>
      </c>
      <c r="F52" s="11">
        <f>DCF!$F$45*DCF!$F$51/100</f>
        <v>51541.566048453496</v>
      </c>
      <c r="G52" s="11">
        <f>DCF!$G$45*DCF!$G$51/100</f>
        <v>55363.373170946325</v>
      </c>
      <c r="H52" s="11">
        <f>DCF!$H$45*DCF!$H$51/100</f>
        <v>59416.802537657153</v>
      </c>
      <c r="I52" s="11">
        <f>DCF!$I$45*DCF!$I$51/100</f>
        <v>63461.898454420843</v>
      </c>
      <c r="J52" s="11">
        <f>DCF!$J$45*DCF!$J$51/100</f>
        <v>67456.507652634347</v>
      </c>
      <c r="K52" s="2"/>
    </row>
    <row r="53" spans="1:11" x14ac:dyDescent="0.2">
      <c r="A53" s="3" t="s">
        <v>392</v>
      </c>
      <c r="B53" s="9" t="s">
        <v>56</v>
      </c>
      <c r="C53" s="2"/>
      <c r="D53" s="11">
        <f>DCF!$D$45*DCF!$D$48/100</f>
        <v>18785.163622499997</v>
      </c>
      <c r="E53" s="11">
        <f>DCF!$E$45*DCF!$E$48/100</f>
        <v>16077.071722139997</v>
      </c>
      <c r="F53" s="11">
        <f>DCF!$F$45*DCF!$F$48/100</f>
        <v>15192.832777422298</v>
      </c>
      <c r="G53" s="11">
        <f>DCF!$G$45*DCF!$G$48/100</f>
        <v>15266.518016392798</v>
      </c>
      <c r="H53" s="11">
        <f>DCF!$H$45*DCF!$H$48/100</f>
        <v>15793.976213859167</v>
      </c>
      <c r="I53" s="11">
        <f>DCF!$I$45*DCF!$I$48/100</f>
        <v>16541.848218578874</v>
      </c>
      <c r="J53" s="11">
        <f>DCF!$J$45*DCF!$J$48/100</f>
        <v>17236.88621406797</v>
      </c>
      <c r="K53" s="2"/>
    </row>
    <row r="54" spans="1:11" x14ac:dyDescent="0.2">
      <c r="A54" s="3" t="s">
        <v>393</v>
      </c>
      <c r="B54" s="9" t="s">
        <v>56</v>
      </c>
      <c r="C54" s="2"/>
      <c r="D54" s="11">
        <f>DCF!$D$50*Assumptions!$C$16</f>
        <v>304.91468661599993</v>
      </c>
      <c r="E54" s="11">
        <f>DCF!$E$50*Assumptions!$D$16</f>
        <v>311.77769230950031</v>
      </c>
      <c r="F54" s="11">
        <f>DCF!$F$50*Assumptions!$E$16</f>
        <v>327.95432495938849</v>
      </c>
      <c r="G54" s="11">
        <f>DCF!$G$50*Assumptions!$F$16</f>
        <v>349.8740384379891</v>
      </c>
      <c r="H54" s="11">
        <f>DCF!$H$50*Assumptions!$G$16</f>
        <v>374.04092141217012</v>
      </c>
      <c r="I54" s="11">
        <f>DCF!$I$50*Assumptions!$H$16</f>
        <v>399.25013052811744</v>
      </c>
      <c r="J54" s="11">
        <f>DCF!$J$50*Assumptions!$I$16</f>
        <v>424.07681210929127</v>
      </c>
      <c r="K54" s="2"/>
    </row>
    <row r="55" spans="1:11" x14ac:dyDescent="0.2">
      <c r="A55" s="3" t="s">
        <v>394</v>
      </c>
      <c r="B55" s="9" t="s">
        <v>56</v>
      </c>
      <c r="C55" s="2"/>
      <c r="D55" s="11">
        <f>DCF!$D$50-DCF!$D$52-DCF!$D$53-DCF!$D$54</f>
        <v>3523.6081716839917</v>
      </c>
      <c r="E55" s="11">
        <f>DCF!$E$50-DCF!$E$52-DCF!$E$53-DCF!$E$54</f>
        <v>4770.3706800487125</v>
      </c>
      <c r="F55" s="11">
        <f>DCF!$F$50-DCF!$F$52-DCF!$F$53-DCF!$F$54</f>
        <v>5816.3857290289361</v>
      </c>
      <c r="G55" s="11">
        <f>DCF!$G$50-DCF!$G$52-DCF!$G$53-DCF!$G$54</f>
        <v>6770.0210937760276</v>
      </c>
      <c r="H55" s="11">
        <f>DCF!$H$50-DCF!$H$52-DCF!$H$53-DCF!$H$54</f>
        <v>7535.3850853315453</v>
      </c>
      <c r="I55" s="11">
        <f>DCF!$I$50-DCF!$I$52-DCF!$I$53-DCF!$I$54</f>
        <v>8319.2544249427101</v>
      </c>
      <c r="J55" s="11">
        <f>DCF!$J$50-DCF!$J$52-DCF!$J$53-DCF!$J$54</f>
        <v>9121.8209010309001</v>
      </c>
      <c r="K55" s="2"/>
    </row>
    <row r="56" spans="1:11" x14ac:dyDescent="0.2">
      <c r="A56" s="3" t="s">
        <v>250</v>
      </c>
      <c r="B56" s="9" t="s">
        <v>56</v>
      </c>
      <c r="C56" s="2"/>
      <c r="D56" s="11">
        <f>MAX(0,DCF!$D$55)*Assumptions!$C$17</f>
        <v>422.83298060207898</v>
      </c>
      <c r="E56" s="11">
        <f>MAX(0,DCF!$E$55)*Assumptions!$D$17</f>
        <v>572.44448160584545</v>
      </c>
      <c r="F56" s="11">
        <f>MAX(0,DCF!$F$55)*Assumptions!$E$17</f>
        <v>697.96628748347234</v>
      </c>
      <c r="G56" s="11">
        <f>MAX(0,DCF!$G$55)*Assumptions!$F$17</f>
        <v>812.40253125312324</v>
      </c>
      <c r="H56" s="11">
        <f>MAX(0,DCF!$H$55)*Assumptions!$G$17</f>
        <v>904.24621023978546</v>
      </c>
      <c r="I56" s="11">
        <f>MAX(0,DCF!$I$55)*Assumptions!$H$17</f>
        <v>998.31053099312521</v>
      </c>
      <c r="J56" s="11">
        <f>MAX(0,DCF!$J$55)*Assumptions!$I$17</f>
        <v>1094.6185081237079</v>
      </c>
      <c r="K56" s="2"/>
    </row>
    <row r="57" spans="1:11" x14ac:dyDescent="0.2">
      <c r="A57" s="4" t="s">
        <v>395</v>
      </c>
      <c r="B57" s="9" t="s">
        <v>56</v>
      </c>
      <c r="C57" s="15">
        <f>Hist!$I$31</f>
        <v>4972</v>
      </c>
      <c r="D57" s="15">
        <f>DCF!$D$55-DCF!$D$56</f>
        <v>3100.7751910819129</v>
      </c>
      <c r="E57" s="15">
        <f>DCF!$E$55-DCF!$E$56</f>
        <v>4197.9261984428667</v>
      </c>
      <c r="F57" s="15">
        <f>DCF!$F$55-DCF!$F$56</f>
        <v>5118.419441545464</v>
      </c>
      <c r="G57" s="15">
        <f>DCF!$G$55-DCF!$G$56</f>
        <v>5957.6185625229045</v>
      </c>
      <c r="H57" s="15">
        <f>DCF!$H$55-DCF!$H$56</f>
        <v>6631.1388750917595</v>
      </c>
      <c r="I57" s="15">
        <f>DCF!$I$55-DCF!$I$56</f>
        <v>7320.9438939495849</v>
      </c>
      <c r="J57" s="15">
        <f>DCF!$J$55-DCF!$J$56</f>
        <v>8027.202392907192</v>
      </c>
      <c r="K57" s="2"/>
    </row>
    <row r="58" spans="1:11" x14ac:dyDescent="0.2">
      <c r="A58" s="3" t="s">
        <v>149</v>
      </c>
      <c r="B58" s="9" t="s">
        <v>150</v>
      </c>
      <c r="C58" s="19">
        <f>DCF!$C$57/DCF!$C$50</f>
        <v>8.417132216014897E-2</v>
      </c>
      <c r="D58" s="19">
        <f>DCF!$D$57/DCF!$D$50</f>
        <v>4.5761942511615382E-2</v>
      </c>
      <c r="E58" s="19">
        <f>DCF!$E$57/DCF!$E$50</f>
        <v>6.0590184477471269E-2</v>
      </c>
      <c r="F58" s="19">
        <f>DCF!$F$57/DCF!$F$50</f>
        <v>7.0231997976568275E-2</v>
      </c>
      <c r="G58" s="19">
        <f>DCF!$G$57/DCF!$G$50</f>
        <v>7.6625529722190819E-2</v>
      </c>
      <c r="H58" s="19">
        <f>DCF!$H$57/DCF!$H$50</f>
        <v>7.9777701394952258E-2</v>
      </c>
      <c r="I58" s="19">
        <f>DCF!$I$57/DCF!$I$50</f>
        <v>8.2515308083169203E-2</v>
      </c>
      <c r="J58" s="19">
        <f>DCF!$J$57/DCF!$J$50</f>
        <v>8.5178933949288993E-2</v>
      </c>
      <c r="K58" s="2"/>
    </row>
    <row r="59" spans="1:11" x14ac:dyDescent="0.2">
      <c r="A59" s="3" t="s">
        <v>253</v>
      </c>
      <c r="B59" s="9" t="s">
        <v>56</v>
      </c>
      <c r="C59" s="11">
        <f>Hist!$I$26</f>
        <v>2939</v>
      </c>
      <c r="D59" s="11">
        <f>DCF!$D$50*Assumptions!$C$18</f>
        <v>3252.4233239039995</v>
      </c>
      <c r="E59" s="11">
        <f>DCF!$E$50*Assumptions!$D$18</f>
        <v>3325.6287179680035</v>
      </c>
      <c r="F59" s="11">
        <f>DCF!$F$50*Assumptions!$E$18</f>
        <v>3498.1794662334778</v>
      </c>
      <c r="G59" s="11">
        <f>DCF!$G$50*Assumptions!$F$18</f>
        <v>3731.9897433385509</v>
      </c>
      <c r="H59" s="11">
        <f>DCF!$H$50*Assumptions!$G$18</f>
        <v>3989.7698283964819</v>
      </c>
      <c r="I59" s="11">
        <f>DCF!$I$50*Assumptions!$H$18</f>
        <v>4258.6680589665866</v>
      </c>
      <c r="J59" s="11">
        <f>DCF!$J$50*Assumptions!$I$18</f>
        <v>4523.4859958324405</v>
      </c>
      <c r="K59" s="2"/>
    </row>
    <row r="60" spans="1:11" x14ac:dyDescent="0.2">
      <c r="A60" s="3" t="s">
        <v>396</v>
      </c>
      <c r="B60" s="9" t="s">
        <v>56</v>
      </c>
      <c r="C60" s="11">
        <f>Metrics!$I$31</f>
        <v>8970</v>
      </c>
      <c r="D60" s="11">
        <f>DCF!$D$57+DCF!$D$59+DCF!$D$50*Assumptions!$C$19</f>
        <v>7403.4602133299122</v>
      </c>
      <c r="E60" s="11">
        <f>DCF!$E$57+DCF!$E$59+DCF!$E$50*Assumptions!$D$19</f>
        <v>8597.4558565880379</v>
      </c>
      <c r="F60" s="11">
        <f>DCF!$F$57+DCF!$F$59+DCF!$F$50*Assumptions!$E$19</f>
        <v>9746.2193604168351</v>
      </c>
      <c r="G60" s="11">
        <f>DCF!$G$57+DCF!$G$59+DCF!$G$50*Assumptions!$F$19</f>
        <v>10894.729993814528</v>
      </c>
      <c r="H60" s="11">
        <f>DCF!$H$57+DCF!$H$59+DCF!$H$50*Assumptions!$G$19</f>
        <v>11909.271877241272</v>
      </c>
      <c r="I60" s="11">
        <f>DCF!$I$57+DCF!$I$59+DCF!$I$50*Assumptions!$H$19</f>
        <v>12954.806846957465</v>
      </c>
      <c r="J60" s="11">
        <f>DCF!$J$57+DCF!$J$59+DCF!$J$50*Assumptions!$I$19</f>
        <v>14011.397408227191</v>
      </c>
      <c r="K60" s="2"/>
    </row>
    <row r="61" spans="1:11" x14ac:dyDescent="0.2">
      <c r="A61" s="3" t="s">
        <v>397</v>
      </c>
      <c r="B61" s="9" t="s">
        <v>56</v>
      </c>
      <c r="C61" s="2"/>
      <c r="D61" s="11">
        <f>Hist!$K$51</f>
        <v>7204</v>
      </c>
      <c r="E61" s="11">
        <f>DCF!$D$61*(1+Assumptions!$D$35)</f>
        <v>7492.16</v>
      </c>
      <c r="F61" s="11">
        <f>DCF!$E$61*(1+Assumptions!$E$35)</f>
        <v>7866.768</v>
      </c>
      <c r="G61" s="11">
        <f>DCF!$F$61*(1+Assumptions!$F$35)</f>
        <v>8260.1064000000006</v>
      </c>
      <c r="H61" s="11">
        <f>DCF!$G$61*(1+Assumptions!$G$35)</f>
        <v>8631.8111879999997</v>
      </c>
      <c r="I61" s="11">
        <f>DCF!$H$61*(1+Assumptions!$H$35)</f>
        <v>8977.0836355200008</v>
      </c>
      <c r="J61" s="11">
        <f>DCF!$I$61*(1+Assumptions!$I$35)</f>
        <v>9291.2815627632008</v>
      </c>
      <c r="K61" s="2"/>
    </row>
    <row r="62" spans="1:11" x14ac:dyDescent="0.2">
      <c r="A62" s="3" t="s">
        <v>398</v>
      </c>
      <c r="B62" s="9" t="s">
        <v>56</v>
      </c>
      <c r="C62" s="2"/>
      <c r="D62" s="11">
        <f>DCF!$D$61*Assumptions!$C$20</f>
        <v>468.26</v>
      </c>
      <c r="E62" s="11">
        <f>DCF!$E$61*Assumptions!$C$20</f>
        <v>486.99040000000002</v>
      </c>
      <c r="F62" s="11">
        <f>DCF!$F$61*Assumptions!$C$20</f>
        <v>511.33992000000001</v>
      </c>
      <c r="G62" s="11">
        <f>DCF!$G$61*Assumptions!$C$20</f>
        <v>536.90691600000002</v>
      </c>
      <c r="H62" s="11">
        <f>DCF!$H$61*Assumptions!$C$20</f>
        <v>561.06772722000005</v>
      </c>
      <c r="I62" s="11">
        <f>DCF!$I$61*Assumptions!$C$20</f>
        <v>583.51043630880008</v>
      </c>
      <c r="J62" s="11">
        <f>DCF!$J$61*Assumptions!$C$20</f>
        <v>603.93330157960804</v>
      </c>
      <c r="K62" s="2"/>
    </row>
    <row r="63" spans="1:11" x14ac:dyDescent="0.2">
      <c r="A63" s="3" t="s">
        <v>399</v>
      </c>
      <c r="B63" s="9" t="s">
        <v>56</v>
      </c>
      <c r="C63" s="2"/>
      <c r="D63" s="11">
        <f>(DCF!$D$57+DCF!$D$62)*(1-Assumptions!$C$10)</f>
        <v>2783.8474490438921</v>
      </c>
      <c r="E63" s="11">
        <f>(DCF!$E$57+DCF!$E$62)*(1-Assumptions!$C$10)</f>
        <v>3654.234946785436</v>
      </c>
      <c r="F63" s="11">
        <f>(DCF!$F$57+DCF!$F$62)*(1-Assumptions!$C$10)</f>
        <v>4391.2123020054623</v>
      </c>
      <c r="G63" s="11">
        <f>(DCF!$G$57+DCF!$G$62)*(1-Assumptions!$C$10)</f>
        <v>5065.7298732478657</v>
      </c>
      <c r="H63" s="11">
        <f>(DCF!$H$57+DCF!$H$62)*(1-Assumptions!$C$10)</f>
        <v>5609.9211498031727</v>
      </c>
      <c r="I63" s="11">
        <f>(DCF!$I$57+DCF!$I$62)*(1-Assumptions!$C$10)</f>
        <v>6165.4743776015403</v>
      </c>
      <c r="J63" s="11">
        <f>(DCF!$J$57+DCF!$J$62)*(1-Assumptions!$C$10)</f>
        <v>6732.2858416997042</v>
      </c>
      <c r="K63" s="2"/>
    </row>
    <row r="64" spans="1:11" x14ac:dyDescent="0.2">
      <c r="A64" s="3" t="s">
        <v>278</v>
      </c>
      <c r="B64" s="9" t="s">
        <v>56</v>
      </c>
      <c r="C64" s="2"/>
      <c r="D64" s="11">
        <f>Assumptions!$C$23</f>
        <v>7500</v>
      </c>
      <c r="E64" s="11">
        <f>DCF!$E$50*Assumptions!$D$40</f>
        <v>7967.6521367983414</v>
      </c>
      <c r="F64" s="11">
        <f>DCF!$F$50*Assumptions!$E$40</f>
        <v>8745.4486655836936</v>
      </c>
      <c r="G64" s="11">
        <f>DCF!$G$50*Assumptions!$F$40</f>
        <v>9329.9743583463769</v>
      </c>
      <c r="H64" s="11">
        <f>DCF!$H$50*Assumptions!$G$40</f>
        <v>9143.2225234086036</v>
      </c>
      <c r="I64" s="11">
        <f>DCF!$I$50*Assumptions!$H$40</f>
        <v>9315.8363789894065</v>
      </c>
      <c r="J64" s="11">
        <f>DCF!$J$50*Assumptions!$I$40</f>
        <v>9423.929157984252</v>
      </c>
      <c r="K64" s="2"/>
    </row>
    <row r="65" spans="1:11" x14ac:dyDescent="0.2">
      <c r="A65" s="3" t="s">
        <v>400</v>
      </c>
      <c r="B65" s="9" t="s">
        <v>56</v>
      </c>
      <c r="C65" s="2"/>
      <c r="D65" s="11">
        <f>(DCF!$D$50-DCF!$C$50)*Assumptions!$C$21</f>
        <v>868.88192479999861</v>
      </c>
      <c r="E65" s="11">
        <f>(DCF!$E$50-DCF!$D$50)*Assumptions!$D$21</f>
        <v>152.51123763334181</v>
      </c>
      <c r="F65" s="11">
        <f>(DCF!$F$50-DCF!$E$50)*Assumptions!$E$21</f>
        <v>359.48072555307158</v>
      </c>
      <c r="G65" s="11">
        <f>(DCF!$G$50-DCF!$F$50)*Assumptions!$F$21</f>
        <v>487.10474396890208</v>
      </c>
      <c r="H65" s="11">
        <f>(DCF!$H$50-DCF!$G$50)*Assumptions!$G$21</f>
        <v>537.0418438706896</v>
      </c>
      <c r="I65" s="11">
        <f>(DCF!$I$50-DCF!$H$50)*Assumptions!$H$21</f>
        <v>560.20464702105096</v>
      </c>
      <c r="J65" s="11">
        <f>(DCF!$J$50-DCF!$I$50)*Assumptions!$I$21</f>
        <v>551.70403513719646</v>
      </c>
      <c r="K65" s="2"/>
    </row>
    <row r="66" spans="1:11" x14ac:dyDescent="0.2">
      <c r="A66" s="4" t="s">
        <v>401</v>
      </c>
      <c r="B66" s="9" t="s">
        <v>56</v>
      </c>
      <c r="C66" s="2"/>
      <c r="D66" s="15">
        <f>DCF!$D$63+DCF!$D$59-DCF!$D$64+DCF!$D$65</f>
        <v>-594.84730225210978</v>
      </c>
      <c r="E66" s="15">
        <f>DCF!$E$63+DCF!$E$59-DCF!$E$64+DCF!$E$65</f>
        <v>-835.27723441156013</v>
      </c>
      <c r="F66" s="15">
        <f>DCF!$F$63+DCF!$F$59-DCF!$F$64+DCF!$F$65</f>
        <v>-496.57617179168187</v>
      </c>
      <c r="G66" s="15">
        <f>DCF!$G$63+DCF!$G$59-DCF!$G$64+DCF!$G$65</f>
        <v>-45.149997791057785</v>
      </c>
      <c r="H66" s="15">
        <f>DCF!$H$63+DCF!$H$59-DCF!$H$64+DCF!$H$65</f>
        <v>993.51029866174065</v>
      </c>
      <c r="I66" s="15">
        <f>DCF!$I$63+DCF!$I$59-DCF!$I$64+DCF!$I$65</f>
        <v>1668.5107045997713</v>
      </c>
      <c r="J66" s="15">
        <f>DCF!$J$63+DCF!$J$59-DCF!$J$64+DCF!$J$65</f>
        <v>2383.5467146850901</v>
      </c>
      <c r="K66" s="2"/>
    </row>
    <row r="67" spans="1:11" x14ac:dyDescent="0.2">
      <c r="A67" s="3" t="s">
        <v>402</v>
      </c>
      <c r="B67" s="9" t="s">
        <v>56</v>
      </c>
      <c r="C67" s="2"/>
      <c r="D67" s="11">
        <f>DCF!$D$66-Assumptions!$C$12</f>
        <v>-4032.7873022521098</v>
      </c>
      <c r="E67" s="11">
        <f>DCF!$E$66</f>
        <v>-835.27723441156013</v>
      </c>
      <c r="F67" s="11">
        <f>DCF!$F$66</f>
        <v>-496.57617179168187</v>
      </c>
      <c r="G67" s="11">
        <f>DCF!$G$66</f>
        <v>-45.149997791057785</v>
      </c>
      <c r="H67" s="11">
        <f>DCF!$H$66</f>
        <v>993.51029866174065</v>
      </c>
      <c r="I67" s="11">
        <f>DCF!$I$66</f>
        <v>1668.5107045997713</v>
      </c>
      <c r="J67" s="11">
        <f>DCF!$J$66</f>
        <v>2383.5467146850901</v>
      </c>
      <c r="K67" s="2"/>
    </row>
    <row r="68" spans="1:11" x14ac:dyDescent="0.2">
      <c r="A68" s="3" t="s">
        <v>403</v>
      </c>
      <c r="B68" s="9" t="s">
        <v>404</v>
      </c>
      <c r="C68" s="2"/>
      <c r="D68" s="12">
        <v>0.25</v>
      </c>
      <c r="E68" s="12">
        <v>1</v>
      </c>
      <c r="F68" s="12">
        <v>2</v>
      </c>
      <c r="G68" s="12">
        <v>3</v>
      </c>
      <c r="H68" s="12">
        <v>4</v>
      </c>
      <c r="I68" s="12">
        <v>5</v>
      </c>
      <c r="J68" s="12">
        <v>6</v>
      </c>
      <c r="K68" s="9" t="s">
        <v>405</v>
      </c>
    </row>
    <row r="69" spans="1:11" x14ac:dyDescent="0.2">
      <c r="A69" s="3" t="s">
        <v>406</v>
      </c>
      <c r="B69" s="9" t="s">
        <v>192</v>
      </c>
      <c r="C69" s="2"/>
      <c r="D69" s="30">
        <f>1/(1+WACC!$C$14)^DCF!$D$68</f>
        <v>0.97980255571454589</v>
      </c>
      <c r="E69" s="30">
        <f>1/(1+WACC!$C$14)^DCF!$E$68</f>
        <v>0.92162505268498662</v>
      </c>
      <c r="F69" s="30">
        <f>1/(1+WACC!$C$14)^DCF!$F$68</f>
        <v>0.8493927377366044</v>
      </c>
      <c r="G69" s="30">
        <f>1/(1+WACC!$C$14)^DCF!$G$68</f>
        <v>0.78282162666674304</v>
      </c>
      <c r="H69" s="30">
        <f>1/(1+WACC!$C$14)^DCF!$H$68</f>
        <v>0.72146802291968404</v>
      </c>
      <c r="I69" s="30">
        <f>1/(1+WACC!$C$14)^DCF!$I$68</f>
        <v>0.66492300463388687</v>
      </c>
      <c r="J69" s="30">
        <f>1/(1+WACC!$C$14)^DCF!$J$68</f>
        <v>0.61280969917716566</v>
      </c>
      <c r="K69" s="2"/>
    </row>
    <row r="70" spans="1:11" x14ac:dyDescent="0.2">
      <c r="A70" s="3" t="s">
        <v>407</v>
      </c>
      <c r="B70" s="9" t="s">
        <v>56</v>
      </c>
      <c r="C70" s="2"/>
      <c r="D70" s="11">
        <f>DCF!$D$67*DCF!$D$69</f>
        <v>-3951.3353053997862</v>
      </c>
      <c r="E70" s="11">
        <f>DCF!$E$67*DCF!$E$69</f>
        <v>-769.812425171124</v>
      </c>
      <c r="F70" s="11">
        <f>DCF!$F$67*DCF!$F$69</f>
        <v>-421.78819405289903</v>
      </c>
      <c r="G70" s="11">
        <f>DCF!$G$67*DCF!$G$69</f>
        <v>-35.344394714795712</v>
      </c>
      <c r="H70" s="11">
        <f>DCF!$H$67*DCF!$H$69</f>
        <v>716.78591092583088</v>
      </c>
      <c r="I70" s="11">
        <f>DCF!$I$67*DCF!$I$69</f>
        <v>1109.4311509662837</v>
      </c>
      <c r="J70" s="11">
        <f>DCF!$J$67*DCF!$J$69</f>
        <v>1460.6605452008916</v>
      </c>
      <c r="K70" s="2"/>
    </row>
    <row r="71" spans="1:11" x14ac:dyDescent="0.2">
      <c r="A71" s="3" t="s">
        <v>408</v>
      </c>
      <c r="B71" s="9" t="s">
        <v>91</v>
      </c>
      <c r="C71" s="2"/>
      <c r="D71" s="16">
        <f>(DCF!$D$57-Assumptions!$C$22)*(1-Assumptions!$C$10)/Assumptions!$C$6</f>
        <v>6.0918697153824004</v>
      </c>
      <c r="E71" s="16">
        <f>(DCF!$E$57-Assumptions!$D$22)*(1-Assumptions!$C$10)/Assumptions!$C$6</f>
        <v>8.7121323783999873</v>
      </c>
      <c r="F71" s="16">
        <f>(DCF!$F$57-Assumptions!$E$22)*(1-Assumptions!$C$10)/Assumptions!$C$6</f>
        <v>10.910493461131237</v>
      </c>
      <c r="G71" s="16">
        <f>(DCF!$G$57-Assumptions!$F$22)*(1-Assumptions!$C$10)/Assumptions!$C$6</f>
        <v>12.91470446652745</v>
      </c>
      <c r="H71" s="16">
        <f>(DCF!$H$57-Assumptions!$G$22)*(1-Assumptions!$C$10)/Assumptions!$C$6</f>
        <v>14.523234300586564</v>
      </c>
      <c r="I71" s="16">
        <f>(DCF!$I$57-Assumptions!$H$22)*(1-Assumptions!$C$10)/Assumptions!$C$6</f>
        <v>16.170655962280083</v>
      </c>
      <c r="J71" s="16">
        <f>(DCF!$J$57-Assumptions!$I$22)*(1-Assumptions!$C$10)/Assumptions!$C$6</f>
        <v>17.857372524395622</v>
      </c>
      <c r="K71" s="2"/>
    </row>
    <row r="72" spans="1:11" x14ac:dyDescent="0.2">
      <c r="A72" s="3" t="s">
        <v>409</v>
      </c>
      <c r="B72" s="9" t="s">
        <v>56</v>
      </c>
      <c r="C72" s="2"/>
      <c r="D72" s="2"/>
      <c r="E72" s="2"/>
      <c r="F72" s="2"/>
      <c r="G72" s="2"/>
      <c r="H72" s="2"/>
      <c r="I72" s="2"/>
      <c r="J72" s="11">
        <f>SUM(D70:J70)</f>
        <v>-1891.4027122455982</v>
      </c>
      <c r="K72" s="2"/>
    </row>
    <row r="73" spans="1:11" x14ac:dyDescent="0.2">
      <c r="A73" s="3" t="s">
        <v>410</v>
      </c>
      <c r="B73" s="9" t="s">
        <v>56</v>
      </c>
      <c r="C73" s="2"/>
      <c r="D73" s="2"/>
      <c r="E73" s="2"/>
      <c r="F73" s="2"/>
      <c r="G73" s="2"/>
      <c r="H73" s="2"/>
      <c r="I73" s="2"/>
      <c r="J73" s="11">
        <f>DCF!$J$63*(1+Assumptions!$C$24)*(1-Assumptions!$C$24/Assumptions!$C$25)/(WACC!$C$14-Assumptions!$C$24)</f>
        <v>86200.01919055199</v>
      </c>
      <c r="K73" s="2"/>
    </row>
    <row r="74" spans="1:11" x14ac:dyDescent="0.2">
      <c r="A74" s="3" t="s">
        <v>411</v>
      </c>
      <c r="B74" s="9" t="s">
        <v>192</v>
      </c>
      <c r="C74" s="2"/>
      <c r="D74" s="2"/>
      <c r="E74" s="2"/>
      <c r="F74" s="2"/>
      <c r="G74" s="2"/>
      <c r="H74" s="2"/>
      <c r="I74" s="2"/>
      <c r="J74" s="14">
        <f>Multiples!$C$52</f>
        <v>6.2149083769633506</v>
      </c>
      <c r="K74" s="9" t="s">
        <v>412</v>
      </c>
    </row>
    <row r="75" spans="1:11" x14ac:dyDescent="0.2">
      <c r="A75" s="3" t="s">
        <v>413</v>
      </c>
      <c r="B75" s="9" t="s">
        <v>56</v>
      </c>
      <c r="C75" s="2"/>
      <c r="D75" s="2"/>
      <c r="E75" s="2"/>
      <c r="F75" s="2"/>
      <c r="G75" s="2"/>
      <c r="H75" s="2"/>
      <c r="I75" s="2"/>
      <c r="J75" s="11">
        <f>DCF!$J$74*DCF!$J$60</f>
        <v>87079.551125353741</v>
      </c>
      <c r="K75" s="2"/>
    </row>
    <row r="76" spans="1:11" x14ac:dyDescent="0.2">
      <c r="A76" s="3" t="s">
        <v>414</v>
      </c>
      <c r="B76" s="9" t="s">
        <v>192</v>
      </c>
      <c r="C76" s="2"/>
      <c r="D76" s="2"/>
      <c r="E76" s="2"/>
      <c r="F76" s="2"/>
      <c r="G76" s="2"/>
      <c r="H76" s="2"/>
      <c r="I76" s="2"/>
      <c r="J76" s="30">
        <f>1/(1+WACC!$C$14)^6.5</f>
        <v>0.58830530726425412</v>
      </c>
      <c r="K76" s="2"/>
    </row>
    <row r="77" spans="1:11" x14ac:dyDescent="0.2">
      <c r="A77" s="3" t="s">
        <v>415</v>
      </c>
      <c r="B77" s="9" t="s">
        <v>56</v>
      </c>
      <c r="C77" s="2"/>
      <c r="D77" s="2"/>
      <c r="E77" s="2"/>
      <c r="F77" s="2"/>
      <c r="G77" s="2"/>
      <c r="H77" s="2"/>
      <c r="I77" s="2"/>
      <c r="J77" s="11">
        <f>DCF!$J$72+DCF!$J$73*DCF!$J$76</f>
        <v>48820.526063836696</v>
      </c>
      <c r="K77" s="2"/>
    </row>
    <row r="78" spans="1:11" x14ac:dyDescent="0.2">
      <c r="A78" s="3" t="s">
        <v>416</v>
      </c>
      <c r="B78" s="9" t="s">
        <v>56</v>
      </c>
      <c r="C78" s="2"/>
      <c r="D78" s="2"/>
      <c r="E78" s="2"/>
      <c r="F78" s="2"/>
      <c r="G78" s="2"/>
      <c r="H78" s="2"/>
      <c r="I78" s="2"/>
      <c r="J78" s="11">
        <f>DCF!$J$72+DCF!$J$75*DCF!$J$76</f>
        <v>49337.959368988959</v>
      </c>
      <c r="K78" s="2"/>
    </row>
    <row r="79" spans="1:11" x14ac:dyDescent="0.2">
      <c r="A79" s="3" t="s">
        <v>417</v>
      </c>
      <c r="B79" s="9" t="s">
        <v>150</v>
      </c>
      <c r="C79" s="2"/>
      <c r="D79" s="2"/>
      <c r="E79" s="2"/>
      <c r="F79" s="2"/>
      <c r="G79" s="2"/>
      <c r="H79" s="2"/>
      <c r="I79" s="2"/>
      <c r="J79" s="22">
        <f>DCF!$J$73*DCF!$J$76/DCF!$J$77</f>
        <v>1.0387419568107978</v>
      </c>
      <c r="K79" s="2"/>
    </row>
    <row r="80" spans="1:11" x14ac:dyDescent="0.2">
      <c r="A80" s="3" t="s">
        <v>418</v>
      </c>
      <c r="B80" s="9" t="s">
        <v>91</v>
      </c>
      <c r="C80" s="2"/>
      <c r="D80" s="2"/>
      <c r="E80" s="2"/>
      <c r="F80" s="2"/>
      <c r="G80" s="2"/>
      <c r="H80" s="2"/>
      <c r="I80" s="2"/>
      <c r="J80" s="16">
        <f>(DCF!$J$77-WACC!$C$15+Assumptions!$C$11)/Assumptions!$C$6</f>
        <v>100.17001244285576</v>
      </c>
      <c r="K80" s="2"/>
    </row>
    <row r="81" spans="1:11" x14ac:dyDescent="0.2">
      <c r="A81" s="3" t="s">
        <v>419</v>
      </c>
      <c r="B81" s="9" t="s">
        <v>91</v>
      </c>
      <c r="C81" s="2"/>
      <c r="D81" s="2"/>
      <c r="E81" s="2"/>
      <c r="F81" s="2"/>
      <c r="G81" s="2"/>
      <c r="H81" s="2"/>
      <c r="I81" s="2"/>
      <c r="J81" s="16">
        <f>(DCF!$J$78-WACC!$C$15+Assumptions!$C$11)/Assumptions!$C$6</f>
        <v>101.75431527553263</v>
      </c>
      <c r="K81" s="2"/>
    </row>
    <row r="82" spans="1:11" x14ac:dyDescent="0.2">
      <c r="A82" s="4" t="s">
        <v>420</v>
      </c>
      <c r="B82" s="9" t="s">
        <v>91</v>
      </c>
      <c r="C82" s="2"/>
      <c r="D82" s="2"/>
      <c r="E82" s="2"/>
      <c r="F82" s="2"/>
      <c r="G82" s="2"/>
      <c r="H82" s="2"/>
      <c r="I82" s="2"/>
      <c r="J82" s="31">
        <f>Assumptions!$C$13*DCF!$J$80+(1-Assumptions!$C$13)*DCF!$J$81</f>
        <v>100.96216385919419</v>
      </c>
      <c r="K82" s="2"/>
    </row>
    <row r="83" spans="1:11" x14ac:dyDescent="0.2">
      <c r="A83" s="3" t="s">
        <v>421</v>
      </c>
      <c r="B83" s="9" t="s">
        <v>192</v>
      </c>
      <c r="C83" s="2"/>
      <c r="D83" s="2"/>
      <c r="E83" s="2"/>
      <c r="F83" s="2"/>
      <c r="G83" s="2"/>
      <c r="H83" s="2"/>
      <c r="I83" s="2"/>
      <c r="J83" s="14">
        <f>DCF!$J$73/DCF!$J$60</f>
        <v>6.1521357705504229</v>
      </c>
      <c r="K83" s="2"/>
    </row>
    <row r="84" spans="1:1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">
      <c r="A85" s="5" t="s">
        <v>423</v>
      </c>
      <c r="B85" s="5" t="s">
        <v>22</v>
      </c>
      <c r="C85" s="6" t="s">
        <v>388</v>
      </c>
      <c r="D85" s="6" t="s">
        <v>217</v>
      </c>
      <c r="E85" s="6" t="s">
        <v>218</v>
      </c>
      <c r="F85" s="6" t="s">
        <v>219</v>
      </c>
      <c r="G85" s="6" t="s">
        <v>220</v>
      </c>
      <c r="H85" s="6" t="s">
        <v>221</v>
      </c>
      <c r="I85" s="6" t="s">
        <v>222</v>
      </c>
      <c r="J85" s="6" t="s">
        <v>223</v>
      </c>
      <c r="K85" s="6" t="s">
        <v>33</v>
      </c>
    </row>
    <row r="86" spans="1:11" x14ac:dyDescent="0.2">
      <c r="A86" s="3" t="s">
        <v>142</v>
      </c>
      <c r="B86" s="9" t="s">
        <v>36</v>
      </c>
      <c r="C86" s="11">
        <f>Hist!$I$5</f>
        <v>330284</v>
      </c>
      <c r="D86" s="11">
        <f>DCF!$C$86*(1+Assumptions!$C$42)</f>
        <v>338541.1</v>
      </c>
      <c r="E86" s="11">
        <f>DCF!$D$86*(1+Assumptions!$D$42)</f>
        <v>355468.15499999997</v>
      </c>
      <c r="F86" s="11">
        <f>DCF!$E$86*(1+Assumptions!$E$42)</f>
        <v>376796.24429999996</v>
      </c>
      <c r="G86" s="11">
        <f>DCF!$F$86*(1+Assumptions!$F$42)</f>
        <v>399404.018958</v>
      </c>
      <c r="H86" s="11">
        <f>DCF!$G$86*(1+Assumptions!$G$42)</f>
        <v>419374.21990590001</v>
      </c>
      <c r="I86" s="11">
        <f>DCF!$H$86*(1+Assumptions!$H$42)</f>
        <v>438246.05980166548</v>
      </c>
      <c r="J86" s="11">
        <f>DCF!$I$86*(1+Assumptions!$I$42)</f>
        <v>455775.90219373209</v>
      </c>
      <c r="K86" s="2"/>
    </row>
    <row r="87" spans="1:11" x14ac:dyDescent="0.2">
      <c r="A87" s="3" t="s">
        <v>389</v>
      </c>
      <c r="B87" s="9" t="s">
        <v>167</v>
      </c>
      <c r="C87" s="16">
        <f>Metrics!$I$13</f>
        <v>14.118152862385099</v>
      </c>
      <c r="D87" s="16">
        <f>DCF!$C$87*(1+Assumptions!$C$15)</f>
        <v>13.976971333761247</v>
      </c>
      <c r="E87" s="16">
        <f>DCF!$D$87*(1+Assumptions!$D$15)</f>
        <v>13.837201620423635</v>
      </c>
      <c r="F87" s="16">
        <f>DCF!$E$87*(1+Assumptions!$E$15)</f>
        <v>13.698829604219398</v>
      </c>
      <c r="G87" s="16">
        <f>DCF!$F$87*(1+Assumptions!$F$15)</f>
        <v>13.561841308177204</v>
      </c>
      <c r="H87" s="16">
        <f>DCF!$G$87*(1+Assumptions!$G$15)</f>
        <v>13.426222895095432</v>
      </c>
      <c r="I87" s="16">
        <f>DCF!$H$87*(1+Assumptions!$H$15)</f>
        <v>13.291960666144478</v>
      </c>
      <c r="J87" s="16">
        <f>DCF!$I$87*(1+Assumptions!$I$15)</f>
        <v>13.159041059483032</v>
      </c>
      <c r="K87" s="2"/>
    </row>
    <row r="88" spans="1:11" x14ac:dyDescent="0.2">
      <c r="A88" s="3" t="s">
        <v>147</v>
      </c>
      <c r="B88" s="9" t="s">
        <v>148</v>
      </c>
      <c r="C88" s="16">
        <f>Hist!$I$9</f>
        <v>2.44</v>
      </c>
      <c r="D88" s="16">
        <f>Assumptions!$C$46</f>
        <v>3.97</v>
      </c>
      <c r="E88" s="16">
        <f>Assumptions!$D$46</f>
        <v>2.9</v>
      </c>
      <c r="F88" s="16">
        <f>Assumptions!$E$46</f>
        <v>2.75</v>
      </c>
      <c r="G88" s="16">
        <f>Assumptions!$F$46</f>
        <v>2.7</v>
      </c>
      <c r="H88" s="16">
        <f>Assumptions!$G$46</f>
        <v>2.75</v>
      </c>
      <c r="I88" s="16">
        <f>Assumptions!$H$46</f>
        <v>2.8</v>
      </c>
      <c r="J88" s="16">
        <f>Assumptions!$I$46</f>
        <v>2.85</v>
      </c>
      <c r="K88" s="2"/>
    </row>
    <row r="89" spans="1:11" x14ac:dyDescent="0.2">
      <c r="A89" s="3" t="s">
        <v>164</v>
      </c>
      <c r="B89" s="9" t="s">
        <v>42</v>
      </c>
      <c r="C89" s="16">
        <f>DCF!$C$87*DCF!$C$88/10</f>
        <v>3.4448292984219639</v>
      </c>
      <c r="D89" s="16">
        <f>DCF!$D$87*DCF!$D$88/10</f>
        <v>5.5488576195032149</v>
      </c>
      <c r="E89" s="16">
        <f>DCF!$E$87*DCF!$E$88/10</f>
        <v>4.012788469922854</v>
      </c>
      <c r="F89" s="16">
        <f>DCF!$F$87*DCF!$F$88/10</f>
        <v>3.7671781411603349</v>
      </c>
      <c r="G89" s="16">
        <f>DCF!$G$87*DCF!$G$88/10</f>
        <v>3.6616971532078453</v>
      </c>
      <c r="H89" s="16">
        <f>DCF!$H$87*DCF!$H$88/10</f>
        <v>3.6922112961512439</v>
      </c>
      <c r="I89" s="16">
        <f>DCF!$I$87*DCF!$I$88/10</f>
        <v>3.7217489865204536</v>
      </c>
      <c r="J89" s="16">
        <f>DCF!$J$87*DCF!$J$88/10</f>
        <v>3.7503267019526638</v>
      </c>
      <c r="K89" s="2"/>
    </row>
    <row r="90" spans="1:11" x14ac:dyDescent="0.2">
      <c r="A90" s="3" t="s">
        <v>390</v>
      </c>
      <c r="B90" s="9" t="s">
        <v>42</v>
      </c>
      <c r="C90" s="16">
        <f>Metrics!$I$8</f>
        <v>17.884608397621442</v>
      </c>
      <c r="D90" s="16">
        <f>DCF!$C$90*(1+Assumptions!$C$43)+Assumptions!$C$44*(DCF!$D$89-DCF!$C$89)</f>
        <v>20.014946264426978</v>
      </c>
      <c r="E90" s="16">
        <f>DCF!$D$90*(1+Assumptions!$D$43)+Assumptions!$D$44*(DCF!$E$89-DCF!$D$89)</f>
        <v>19.793827893933702</v>
      </c>
      <c r="F90" s="16">
        <f>DCF!$E$90*(1+Assumptions!$E$43)+Assumptions!$E$44*(DCF!$F$89-DCF!$E$89)</f>
        <v>20.142032401989194</v>
      </c>
      <c r="G90" s="16">
        <f>DCF!$F$90*(1+Assumptions!$F$43)+Assumptions!$F$44*(DCF!$G$89-DCF!$F$89)</f>
        <v>20.540102224086432</v>
      </c>
      <c r="H90" s="16">
        <f>DCF!$G$90*(1+Assumptions!$G$43)+Assumptions!$G$44*(DCF!$H$89-DCF!$G$89)</f>
        <v>21.084118922631991</v>
      </c>
      <c r="I90" s="16">
        <f>DCF!$H$90*(1+Assumptions!$H$43)+Assumptions!$H$44*(DCF!$I$89-DCF!$H$89)</f>
        <v>21.640759586066999</v>
      </c>
      <c r="J90" s="16">
        <f>DCF!$I$90*(1+Assumptions!$I$43)+Assumptions!$I$44*(DCF!$J$89-DCF!$I$89)</f>
        <v>22.21035629115088</v>
      </c>
      <c r="K90" s="2"/>
    </row>
    <row r="91" spans="1:11" x14ac:dyDescent="0.2">
      <c r="A91" s="4" t="s">
        <v>144</v>
      </c>
      <c r="B91" s="9" t="s">
        <v>56</v>
      </c>
      <c r="C91" s="15">
        <f>Hist!$I$19</f>
        <v>59070</v>
      </c>
      <c r="D91" s="15">
        <f>DCF!$D$86*DCF!$D$90/100</f>
        <v>67758.819247999985</v>
      </c>
      <c r="E91" s="15">
        <f>DCF!$E$86*DCF!$E$90/100</f>
        <v>70360.754818441492</v>
      </c>
      <c r="F91" s="15">
        <f>DCF!$F$86*DCF!$F$90/100</f>
        <v>75894.421616384352</v>
      </c>
      <c r="G91" s="15">
        <f>DCF!$G$86*DCF!$G$90/100</f>
        <v>82037.993781082754</v>
      </c>
      <c r="H91" s="15">
        <f>DCF!$H$86*DCF!$H$90/100</f>
        <v>88421.359255820164</v>
      </c>
      <c r="I91" s="15">
        <f>DCF!$I$86*DCF!$I$90/100</f>
        <v>94839.776197089828</v>
      </c>
      <c r="J91" s="15">
        <f>DCF!$J$86*DCF!$J$90/100</f>
        <v>101229.45176643526</v>
      </c>
      <c r="K91" s="2"/>
    </row>
    <row r="92" spans="1:11" x14ac:dyDescent="0.2">
      <c r="A92" s="3" t="s">
        <v>146</v>
      </c>
      <c r="B92" s="9" t="s">
        <v>42</v>
      </c>
      <c r="C92" s="16">
        <f>Metrics!$I$10</f>
        <v>12.64</v>
      </c>
      <c r="D92" s="16">
        <f>DCF!$C$92*(1+Assumptions!$C$45)</f>
        <v>13.3352</v>
      </c>
      <c r="E92" s="16">
        <f>DCF!$D$92*(1+Assumptions!$D$45)</f>
        <v>13.601904000000001</v>
      </c>
      <c r="F92" s="16">
        <f>DCF!$E$92*(1+Assumptions!$E$45)</f>
        <v>13.873942080000001</v>
      </c>
      <c r="G92" s="16">
        <f>DCF!$F$92*(1+Assumptions!$F$45)</f>
        <v>14.220790632</v>
      </c>
      <c r="H92" s="16">
        <f>DCF!$G$92*(1+Assumptions!$G$45)</f>
        <v>14.604751979063998</v>
      </c>
      <c r="I92" s="16">
        <f>DCF!$H$92*(1+Assumptions!$H$45)</f>
        <v>14.999080282498724</v>
      </c>
      <c r="J92" s="16">
        <f>DCF!$I$92*(1+Assumptions!$I$45)</f>
        <v>15.404055450126188</v>
      </c>
      <c r="K92" s="2"/>
    </row>
    <row r="93" spans="1:11" x14ac:dyDescent="0.2">
      <c r="A93" s="3" t="s">
        <v>391</v>
      </c>
      <c r="B93" s="9" t="s">
        <v>56</v>
      </c>
      <c r="C93" s="2"/>
      <c r="D93" s="11">
        <f>DCF!$D$86*DCF!$D$92/100</f>
        <v>45145.132767199997</v>
      </c>
      <c r="E93" s="11">
        <f>DCF!$E$86*DCF!$E$92/100</f>
        <v>48350.437193671205</v>
      </c>
      <c r="F93" s="11">
        <f>DCF!$F$86*DCF!$F$92/100</f>
        <v>52276.492693797307</v>
      </c>
      <c r="G93" s="11">
        <f>DCF!$G$86*DCF!$G$92/100</f>
        <v>56798.40931181077</v>
      </c>
      <c r="H93" s="11">
        <f>DCF!$H$86*DCF!$H$92/100</f>
        <v>61248.564681391137</v>
      </c>
      <c r="I93" s="11">
        <f>DCF!$I$86*DCF!$I$92/100</f>
        <v>65732.878344539175</v>
      </c>
      <c r="J93" s="11">
        <f>DCF!$J$86*DCF!$J$92/100</f>
        <v>70207.972702235391</v>
      </c>
      <c r="K93" s="2"/>
    </row>
    <row r="94" spans="1:11" x14ac:dyDescent="0.2">
      <c r="A94" s="3" t="s">
        <v>392</v>
      </c>
      <c r="B94" s="9" t="s">
        <v>56</v>
      </c>
      <c r="C94" s="2"/>
      <c r="D94" s="11">
        <f>DCF!$D$86*DCF!$D$89/100</f>
        <v>18785.163622499997</v>
      </c>
      <c r="E94" s="11">
        <f>DCF!$E$86*DCF!$E$89/100</f>
        <v>14264.185138087498</v>
      </c>
      <c r="F94" s="11">
        <f>DCF!$F$86*DCF!$F$89/100</f>
        <v>14194.585751982691</v>
      </c>
      <c r="G94" s="11">
        <f>DCF!$G$86*DCF!$G$89/100</f>
        <v>14624.965591982807</v>
      </c>
      <c r="H94" s="11">
        <f>DCF!$H$86*DCF!$H$89/100</f>
        <v>15484.1823205118</v>
      </c>
      <c r="I94" s="11">
        <f>DCF!$I$86*DCF!$I$89/100</f>
        <v>16310.418289134306</v>
      </c>
      <c r="J94" s="11">
        <f>DCF!$J$86*DCF!$J$89/100</f>
        <v>17093.085361037192</v>
      </c>
      <c r="K94" s="2"/>
    </row>
    <row r="95" spans="1:11" x14ac:dyDescent="0.2">
      <c r="A95" s="3" t="s">
        <v>393</v>
      </c>
      <c r="B95" s="9" t="s">
        <v>56</v>
      </c>
      <c r="C95" s="2"/>
      <c r="D95" s="11">
        <f>DCF!$D$91*Assumptions!$C$16</f>
        <v>304.91468661599993</v>
      </c>
      <c r="E95" s="11">
        <f>DCF!$E$91*Assumptions!$D$16</f>
        <v>316.62339668298671</v>
      </c>
      <c r="F95" s="11">
        <f>DCF!$F$91*Assumptions!$E$16</f>
        <v>341.52489727372955</v>
      </c>
      <c r="G95" s="11">
        <f>DCF!$G$91*Assumptions!$F$16</f>
        <v>369.17097201487235</v>
      </c>
      <c r="H95" s="11">
        <f>DCF!$H$91*Assumptions!$G$16</f>
        <v>397.89611665119071</v>
      </c>
      <c r="I95" s="11">
        <f>DCF!$I$91*Assumptions!$H$16</f>
        <v>426.77899288690418</v>
      </c>
      <c r="J95" s="11">
        <f>DCF!$J$91*Assumptions!$I$16</f>
        <v>455.53253294895865</v>
      </c>
      <c r="K95" s="2"/>
    </row>
    <row r="96" spans="1:11" x14ac:dyDescent="0.2">
      <c r="A96" s="3" t="s">
        <v>394</v>
      </c>
      <c r="B96" s="9" t="s">
        <v>56</v>
      </c>
      <c r="C96" s="2"/>
      <c r="D96" s="11">
        <f>DCF!$D$91-DCF!$D$93-DCF!$D$94-DCF!$D$95</f>
        <v>3523.6081716839917</v>
      </c>
      <c r="E96" s="11">
        <f>DCF!$E$91-DCF!$E$93-DCF!$E$94-DCF!$E$95</f>
        <v>7429.5090899998022</v>
      </c>
      <c r="F96" s="11">
        <f>DCF!$F$91-DCF!$F$93-DCF!$F$94-DCF!$F$95</f>
        <v>9081.8182733306239</v>
      </c>
      <c r="G96" s="11">
        <f>DCF!$G$91-DCF!$G$93-DCF!$G$94-DCF!$G$95</f>
        <v>10245.447905274305</v>
      </c>
      <c r="H96" s="11">
        <f>DCF!$H$91-DCF!$H$93-DCF!$H$94-DCF!$H$95</f>
        <v>11290.716137266036</v>
      </c>
      <c r="I96" s="11">
        <f>DCF!$I$91-DCF!$I$93-DCF!$I$94-DCF!$I$95</f>
        <v>12369.700570529443</v>
      </c>
      <c r="J96" s="11">
        <f>DCF!$J$91-DCF!$J$93-DCF!$J$94-DCF!$J$95</f>
        <v>13472.861170213719</v>
      </c>
      <c r="K96" s="2"/>
    </row>
    <row r="97" spans="1:11" x14ac:dyDescent="0.2">
      <c r="A97" s="3" t="s">
        <v>250</v>
      </c>
      <c r="B97" s="9" t="s">
        <v>56</v>
      </c>
      <c r="C97" s="2"/>
      <c r="D97" s="11">
        <f>MAX(0,DCF!$D$96)*Assumptions!$C$17</f>
        <v>422.83298060207898</v>
      </c>
      <c r="E97" s="11">
        <f>MAX(0,DCF!$E$96)*Assumptions!$D$17</f>
        <v>891.54109079997625</v>
      </c>
      <c r="F97" s="11">
        <f>MAX(0,DCF!$F$96)*Assumptions!$E$17</f>
        <v>1089.8181927996748</v>
      </c>
      <c r="G97" s="11">
        <f>MAX(0,DCF!$G$96)*Assumptions!$F$17</f>
        <v>1229.4537486329166</v>
      </c>
      <c r="H97" s="11">
        <f>MAX(0,DCF!$H$96)*Assumptions!$G$17</f>
        <v>1354.8859364719242</v>
      </c>
      <c r="I97" s="11">
        <f>MAX(0,DCF!$I$96)*Assumptions!$H$17</f>
        <v>1484.3640684635332</v>
      </c>
      <c r="J97" s="11">
        <f>MAX(0,DCF!$J$96)*Assumptions!$I$17</f>
        <v>1616.7433404256462</v>
      </c>
      <c r="K97" s="2"/>
    </row>
    <row r="98" spans="1:11" x14ac:dyDescent="0.2">
      <c r="A98" s="4" t="s">
        <v>395</v>
      </c>
      <c r="B98" s="9" t="s">
        <v>56</v>
      </c>
      <c r="C98" s="15">
        <f>Hist!$I$31</f>
        <v>4972</v>
      </c>
      <c r="D98" s="15">
        <f>DCF!$D$96-DCF!$D$97</f>
        <v>3100.7751910819129</v>
      </c>
      <c r="E98" s="15">
        <f>DCF!$E$96-DCF!$E$97</f>
        <v>6537.9679991998255</v>
      </c>
      <c r="F98" s="15">
        <f>DCF!$F$96-DCF!$F$97</f>
        <v>7992.0000805309492</v>
      </c>
      <c r="G98" s="15">
        <f>DCF!$G$96-DCF!$G$97</f>
        <v>9015.9941566413872</v>
      </c>
      <c r="H98" s="15">
        <f>DCF!$H$96-DCF!$H$97</f>
        <v>9935.8302007941111</v>
      </c>
      <c r="I98" s="15">
        <f>DCF!$I$96-DCF!$I$97</f>
        <v>10885.336502065909</v>
      </c>
      <c r="J98" s="15">
        <f>DCF!$J$96-DCF!$J$97</f>
        <v>11856.117829788072</v>
      </c>
      <c r="K98" s="2"/>
    </row>
    <row r="99" spans="1:11" x14ac:dyDescent="0.2">
      <c r="A99" s="3" t="s">
        <v>149</v>
      </c>
      <c r="B99" s="9" t="s">
        <v>150</v>
      </c>
      <c r="C99" s="19">
        <f>DCF!$C$98/DCF!$C$91</f>
        <v>8.417132216014897E-2</v>
      </c>
      <c r="D99" s="19">
        <f>DCF!$D$98/DCF!$D$91</f>
        <v>4.5761942511615382E-2</v>
      </c>
      <c r="E99" s="19">
        <f>DCF!$E$98/DCF!$E$91</f>
        <v>9.2920663174668364E-2</v>
      </c>
      <c r="F99" s="19">
        <f>DCF!$F$98/DCF!$F$91</f>
        <v>0.10530418323664527</v>
      </c>
      <c r="G99" s="19">
        <f>DCF!$G$98/DCF!$G$91</f>
        <v>0.10990022721302087</v>
      </c>
      <c r="H99" s="19">
        <f>DCF!$H$98/DCF!$H$91</f>
        <v>0.11236911855254142</v>
      </c>
      <c r="I99" s="19">
        <f>DCF!$I$98/DCF!$I$91</f>
        <v>0.11477606694731875</v>
      </c>
      <c r="J99" s="19">
        <f>DCF!$J$98/DCF!$J$91</f>
        <v>0.11712122927568018</v>
      </c>
      <c r="K99" s="2"/>
    </row>
    <row r="100" spans="1:11" x14ac:dyDescent="0.2">
      <c r="A100" s="3" t="s">
        <v>253</v>
      </c>
      <c r="B100" s="9" t="s">
        <v>56</v>
      </c>
      <c r="C100" s="11">
        <f>Hist!$I$26</f>
        <v>2939</v>
      </c>
      <c r="D100" s="11">
        <f>DCF!$D$91*Assumptions!$C$18</f>
        <v>3252.4233239039995</v>
      </c>
      <c r="E100" s="11">
        <f>DCF!$E$91*Assumptions!$D$18</f>
        <v>3377.3162312851919</v>
      </c>
      <c r="F100" s="11">
        <f>DCF!$F$91*Assumptions!$E$18</f>
        <v>3642.932237586449</v>
      </c>
      <c r="G100" s="11">
        <f>DCF!$G$91*Assumptions!$F$18</f>
        <v>3937.8237014919723</v>
      </c>
      <c r="H100" s="11">
        <f>DCF!$H$91*Assumptions!$G$18</f>
        <v>4244.2252442793679</v>
      </c>
      <c r="I100" s="11">
        <f>DCF!$I$91*Assumptions!$H$18</f>
        <v>4552.3092574603115</v>
      </c>
      <c r="J100" s="11">
        <f>DCF!$J$91*Assumptions!$I$18</f>
        <v>4859.0136847888925</v>
      </c>
      <c r="K100" s="2"/>
    </row>
    <row r="101" spans="1:11" x14ac:dyDescent="0.2">
      <c r="A101" s="3" t="s">
        <v>396</v>
      </c>
      <c r="B101" s="9" t="s">
        <v>56</v>
      </c>
      <c r="C101" s="11">
        <f>Metrics!$I$31</f>
        <v>8970</v>
      </c>
      <c r="D101" s="11">
        <f>DCF!$D$98+DCF!$D$100+DCF!$D$91*Assumptions!$C$19</f>
        <v>7403.4602133299122</v>
      </c>
      <c r="E101" s="11">
        <f>DCF!$E$98+DCF!$E$100+DCF!$E$91*Assumptions!$D$19</f>
        <v>11005.87593017086</v>
      </c>
      <c r="F101" s="11">
        <f>DCF!$F$98+DCF!$F$100+DCF!$F$91*Assumptions!$E$19</f>
        <v>12811.295853171356</v>
      </c>
      <c r="G101" s="11">
        <f>DCF!$G$98+DCF!$G$100+DCF!$G$91*Assumptions!$F$19</f>
        <v>14225.406761740142</v>
      </c>
      <c r="H101" s="11">
        <f>DCF!$H$98+DCF!$H$100+DCF!$H$91*Assumptions!$G$19</f>
        <v>15550.58651353869</v>
      </c>
      <c r="I101" s="11">
        <f>DCF!$I$98+DCF!$I$100+DCF!$I$91*Assumptions!$H$19</f>
        <v>16907.662290581113</v>
      </c>
      <c r="J101" s="11">
        <f>DCF!$J$98+DCF!$J$100+DCF!$J$91*Assumptions!$I$19</f>
        <v>18284.188016956712</v>
      </c>
      <c r="K101" s="2"/>
    </row>
    <row r="102" spans="1:11" x14ac:dyDescent="0.2">
      <c r="A102" s="3" t="s">
        <v>397</v>
      </c>
      <c r="B102" s="9" t="s">
        <v>56</v>
      </c>
      <c r="C102" s="2"/>
      <c r="D102" s="11">
        <f>Hist!$K$51</f>
        <v>7204</v>
      </c>
      <c r="E102" s="11">
        <f>DCF!$D$102*(1+Assumptions!$D$42)</f>
        <v>7564.2000000000007</v>
      </c>
      <c r="F102" s="11">
        <f>DCF!$E$102*(1+Assumptions!$E$42)</f>
        <v>8018.0520000000015</v>
      </c>
      <c r="G102" s="11">
        <f>DCF!$F$102*(1+Assumptions!$F$42)</f>
        <v>8499.1351200000026</v>
      </c>
      <c r="H102" s="11">
        <f>DCF!$G$102*(1+Assumptions!$G$42)</f>
        <v>8924.091876000004</v>
      </c>
      <c r="I102" s="11">
        <f>DCF!$H$102*(1+Assumptions!$H$42)</f>
        <v>9325.6760104200039</v>
      </c>
      <c r="J102" s="11">
        <f>DCF!$I$102*(1+Assumptions!$I$42)</f>
        <v>9698.7030508368043</v>
      </c>
      <c r="K102" s="2"/>
    </row>
    <row r="103" spans="1:11" x14ac:dyDescent="0.2">
      <c r="A103" s="3" t="s">
        <v>398</v>
      </c>
      <c r="B103" s="9" t="s">
        <v>56</v>
      </c>
      <c r="C103" s="2"/>
      <c r="D103" s="11">
        <f>DCF!$D$102*Assumptions!$C$20</f>
        <v>468.26</v>
      </c>
      <c r="E103" s="11">
        <f>DCF!$E$102*Assumptions!$C$20</f>
        <v>491.67300000000006</v>
      </c>
      <c r="F103" s="11">
        <f>DCF!$F$102*Assumptions!$C$20</f>
        <v>521.17338000000007</v>
      </c>
      <c r="G103" s="11">
        <f>DCF!$G$102*Assumptions!$C$20</f>
        <v>552.44378280000024</v>
      </c>
      <c r="H103" s="11">
        <f>DCF!$H$102*Assumptions!$C$20</f>
        <v>580.06597194000028</v>
      </c>
      <c r="I103" s="11">
        <f>DCF!$I$102*Assumptions!$C$20</f>
        <v>606.16894067730027</v>
      </c>
      <c r="J103" s="11">
        <f>DCF!$J$102*Assumptions!$C$20</f>
        <v>630.41569830439232</v>
      </c>
      <c r="K103" s="2"/>
    </row>
    <row r="104" spans="1:11" x14ac:dyDescent="0.2">
      <c r="A104" s="3" t="s">
        <v>399</v>
      </c>
      <c r="B104" s="9" t="s">
        <v>56</v>
      </c>
      <c r="C104" s="2"/>
      <c r="D104" s="11">
        <f>(DCF!$D$98+DCF!$D$103)*(1-Assumptions!$C$10)</f>
        <v>2783.8474490438921</v>
      </c>
      <c r="E104" s="11">
        <f>(DCF!$E$98+DCF!$E$103)*(1-Assumptions!$C$10)</f>
        <v>5483.1199793758642</v>
      </c>
      <c r="F104" s="11">
        <f>(DCF!$F$98+DCF!$F$103)*(1-Assumptions!$C$10)</f>
        <v>6640.2752992141404</v>
      </c>
      <c r="G104" s="11">
        <f>(DCF!$G$98+DCF!$G$103)*(1-Assumptions!$C$10)</f>
        <v>7463.3815927642827</v>
      </c>
      <c r="H104" s="11">
        <f>(DCF!$H$98+DCF!$H$103)*(1-Assumptions!$C$10)</f>
        <v>8202.3990147326076</v>
      </c>
      <c r="I104" s="11">
        <f>(DCF!$I$98+DCF!$I$103)*(1-Assumptions!$C$10)</f>
        <v>8963.3742453397044</v>
      </c>
      <c r="J104" s="11">
        <f>(DCF!$J$98+DCF!$J$103)*(1-Assumptions!$C$10)</f>
        <v>9739.4961519121225</v>
      </c>
      <c r="K104" s="2"/>
    </row>
    <row r="105" spans="1:11" x14ac:dyDescent="0.2">
      <c r="A105" s="3" t="s">
        <v>278</v>
      </c>
      <c r="B105" s="9" t="s">
        <v>56</v>
      </c>
      <c r="C105" s="2"/>
      <c r="D105" s="11">
        <f>Assumptions!$C$23</f>
        <v>7500</v>
      </c>
      <c r="E105" s="11">
        <f>DCF!$E$91*Assumptions!$D$47</f>
        <v>8091.4868041207719</v>
      </c>
      <c r="F105" s="11">
        <f>DCF!$F$91*Assumptions!$E$47</f>
        <v>9107.3305939661223</v>
      </c>
      <c r="G105" s="11">
        <f>DCF!$G$91*Assumptions!$F$47</f>
        <v>9844.5592537299308</v>
      </c>
      <c r="H105" s="11">
        <f>DCF!$H$91*Assumptions!$G$47</f>
        <v>9726.3495181402177</v>
      </c>
      <c r="I105" s="11">
        <f>DCF!$I$91*Assumptions!$H$47</f>
        <v>9958.1765006944315</v>
      </c>
      <c r="J105" s="11">
        <f>DCF!$J$91*Assumptions!$I$47</f>
        <v>10122.945176643527</v>
      </c>
      <c r="K105" s="2"/>
    </row>
    <row r="106" spans="1:11" x14ac:dyDescent="0.2">
      <c r="A106" s="3" t="s">
        <v>400</v>
      </c>
      <c r="B106" s="9" t="s">
        <v>56</v>
      </c>
      <c r="C106" s="2"/>
      <c r="D106" s="11">
        <f>(DCF!$D$91-DCF!$C$91)*Assumptions!$C$21</f>
        <v>868.88192479999861</v>
      </c>
      <c r="E106" s="11">
        <f>(DCF!$E$91-DCF!$D$91)*Assumptions!$D$21</f>
        <v>260.19355704415068</v>
      </c>
      <c r="F106" s="11">
        <f>(DCF!$F$91-DCF!$E$91)*Assumptions!$E$21</f>
        <v>553.36667979428603</v>
      </c>
      <c r="G106" s="11">
        <f>(DCF!$G$91-DCF!$F$91)*Assumptions!$F$21</f>
        <v>614.35721646984018</v>
      </c>
      <c r="H106" s="11">
        <f>(DCF!$H$91-DCF!$G$91)*Assumptions!$G$21</f>
        <v>638.33654747374101</v>
      </c>
      <c r="I106" s="11">
        <f>(DCF!$I$91-DCF!$H$91)*Assumptions!$H$21</f>
        <v>641.84169412696656</v>
      </c>
      <c r="J106" s="11">
        <f>(DCF!$J$91-DCF!$I$91)*Assumptions!$I$21</f>
        <v>638.96755693454327</v>
      </c>
      <c r="K106" s="2"/>
    </row>
    <row r="107" spans="1:11" x14ac:dyDescent="0.2">
      <c r="A107" s="4" t="s">
        <v>401</v>
      </c>
      <c r="B107" s="9" t="s">
        <v>56</v>
      </c>
      <c r="C107" s="2"/>
      <c r="D107" s="15">
        <f>DCF!$D$104+DCF!$D$100-DCF!$D$105+DCF!$D$106</f>
        <v>-594.84730225210978</v>
      </c>
      <c r="E107" s="15">
        <f>DCF!$E$104+DCF!$E$100-DCF!$E$105+DCF!$E$106</f>
        <v>1029.1429635844356</v>
      </c>
      <c r="F107" s="15">
        <f>DCF!$F$104+DCF!$F$100-DCF!$F$105+DCF!$F$106</f>
        <v>1729.2436226287537</v>
      </c>
      <c r="G107" s="15">
        <f>DCF!$G$104+DCF!$G$100-DCF!$G$105+DCF!$G$106</f>
        <v>2171.0032569961645</v>
      </c>
      <c r="H107" s="15">
        <f>DCF!$H$104+DCF!$H$100-DCF!$H$105+DCF!$H$106</f>
        <v>3358.6112883454998</v>
      </c>
      <c r="I107" s="15">
        <f>DCF!$I$104+DCF!$I$100-DCF!$I$105+DCF!$I$106</f>
        <v>4199.3486962325514</v>
      </c>
      <c r="J107" s="15">
        <f>DCF!$J$104+DCF!$J$100-DCF!$J$105+DCF!$J$106</f>
        <v>5114.532216992031</v>
      </c>
      <c r="K107" s="2"/>
    </row>
    <row r="108" spans="1:11" x14ac:dyDescent="0.2">
      <c r="A108" s="3" t="s">
        <v>402</v>
      </c>
      <c r="B108" s="9" t="s">
        <v>56</v>
      </c>
      <c r="C108" s="2"/>
      <c r="D108" s="11">
        <f>DCF!$D$107-Assumptions!$C$12</f>
        <v>-4032.7873022521098</v>
      </c>
      <c r="E108" s="11">
        <f>DCF!$E$107</f>
        <v>1029.1429635844356</v>
      </c>
      <c r="F108" s="11">
        <f>DCF!$F$107</f>
        <v>1729.2436226287537</v>
      </c>
      <c r="G108" s="11">
        <f>DCF!$G$107</f>
        <v>2171.0032569961645</v>
      </c>
      <c r="H108" s="11">
        <f>DCF!$H$107</f>
        <v>3358.6112883454998</v>
      </c>
      <c r="I108" s="11">
        <f>DCF!$I$107</f>
        <v>4199.3486962325514</v>
      </c>
      <c r="J108" s="11">
        <f>DCF!$J$107</f>
        <v>5114.532216992031</v>
      </c>
      <c r="K108" s="2"/>
    </row>
    <row r="109" spans="1:11" x14ac:dyDescent="0.2">
      <c r="A109" s="3" t="s">
        <v>403</v>
      </c>
      <c r="B109" s="9" t="s">
        <v>404</v>
      </c>
      <c r="C109" s="2"/>
      <c r="D109" s="12">
        <v>0.25</v>
      </c>
      <c r="E109" s="12">
        <v>1</v>
      </c>
      <c r="F109" s="12">
        <v>2</v>
      </c>
      <c r="G109" s="12">
        <v>3</v>
      </c>
      <c r="H109" s="12">
        <v>4</v>
      </c>
      <c r="I109" s="12">
        <v>5</v>
      </c>
      <c r="J109" s="12">
        <v>6</v>
      </c>
      <c r="K109" s="9" t="s">
        <v>405</v>
      </c>
    </row>
    <row r="110" spans="1:11" x14ac:dyDescent="0.2">
      <c r="A110" s="3" t="s">
        <v>406</v>
      </c>
      <c r="B110" s="9" t="s">
        <v>192</v>
      </c>
      <c r="C110" s="2"/>
      <c r="D110" s="30">
        <f>1/(1+WACC!$C$14)^DCF!$D$109</f>
        <v>0.97980255571454589</v>
      </c>
      <c r="E110" s="30">
        <f>1/(1+WACC!$C$14)^DCF!$E$109</f>
        <v>0.92162505268498662</v>
      </c>
      <c r="F110" s="30">
        <f>1/(1+WACC!$C$14)^DCF!$F$109</f>
        <v>0.8493927377366044</v>
      </c>
      <c r="G110" s="30">
        <f>1/(1+WACC!$C$14)^DCF!$G$109</f>
        <v>0.78282162666674304</v>
      </c>
      <c r="H110" s="30">
        <f>1/(1+WACC!$C$14)^DCF!$H$109</f>
        <v>0.72146802291968404</v>
      </c>
      <c r="I110" s="30">
        <f>1/(1+WACC!$C$14)^DCF!$I$109</f>
        <v>0.66492300463388687</v>
      </c>
      <c r="J110" s="30">
        <f>1/(1+WACC!$C$14)^DCF!$J$109</f>
        <v>0.61280969917716566</v>
      </c>
      <c r="K110" s="2"/>
    </row>
    <row r="111" spans="1:11" x14ac:dyDescent="0.2">
      <c r="A111" s="3" t="s">
        <v>407</v>
      </c>
      <c r="B111" s="9" t="s">
        <v>56</v>
      </c>
      <c r="C111" s="2"/>
      <c r="D111" s="11">
        <f>DCF!$D$108*DCF!$D$110</f>
        <v>-3951.3353053997862</v>
      </c>
      <c r="E111" s="11">
        <f>DCF!$E$108*DCF!$E$110</f>
        <v>948.48393803388876</v>
      </c>
      <c r="F111" s="11">
        <f>DCF!$F$108*DCF!$F$110</f>
        <v>1468.8069748382006</v>
      </c>
      <c r="G111" s="11">
        <f>DCF!$G$108*DCF!$G$110</f>
        <v>1699.5083011405347</v>
      </c>
      <c r="H111" s="11">
        <f>DCF!$H$108*DCF!$H$110</f>
        <v>2423.1306459583607</v>
      </c>
      <c r="I111" s="11">
        <f>DCF!$I$108*DCF!$I$110</f>
        <v>2792.2435526043437</v>
      </c>
      <c r="J111" s="11">
        <f>DCF!$J$108*DCF!$J$110</f>
        <v>3134.2349493268084</v>
      </c>
      <c r="K111" s="2"/>
    </row>
    <row r="112" spans="1:11" x14ac:dyDescent="0.2">
      <c r="A112" s="3" t="s">
        <v>408</v>
      </c>
      <c r="B112" s="9" t="s">
        <v>91</v>
      </c>
      <c r="C112" s="2"/>
      <c r="D112" s="16">
        <f>(DCF!$D$98-Assumptions!$C$22)*(1-Assumptions!$C$10)/Assumptions!$C$6</f>
        <v>6.0918697153824004</v>
      </c>
      <c r="E112" s="16">
        <f>(DCF!$E$98-Assumptions!$D$22)*(1-Assumptions!$C$10)/Assumptions!$C$6</f>
        <v>14.300719655161862</v>
      </c>
      <c r="F112" s="16">
        <f>(DCF!$F$98-Assumptions!$E$22)*(1-Assumptions!$C$10)/Assumptions!$C$6</f>
        <v>17.773300865934296</v>
      </c>
      <c r="G112" s="16">
        <f>(DCF!$G$98-Assumptions!$F$22)*(1-Assumptions!$C$10)/Assumptions!$C$6</f>
        <v>20.218847036681819</v>
      </c>
      <c r="H112" s="16">
        <f>(DCF!$H$98-Assumptions!$G$22)*(1-Assumptions!$C$10)/Assumptions!$C$6</f>
        <v>22.415638568951032</v>
      </c>
      <c r="I112" s="16">
        <f>(DCF!$I$98-Assumptions!$H$22)*(1-Assumptions!$C$10)/Assumptions!$C$6</f>
        <v>24.683289870212519</v>
      </c>
      <c r="J112" s="16">
        <f>(DCF!$J$98-Assumptions!$I$22)*(1-Assumptions!$C$10)/Assumptions!$C$6</f>
        <v>27.001751093798827</v>
      </c>
      <c r="K112" s="2"/>
    </row>
    <row r="113" spans="1:11" x14ac:dyDescent="0.2">
      <c r="A113" s="3" t="s">
        <v>409</v>
      </c>
      <c r="B113" s="9" t="s">
        <v>56</v>
      </c>
      <c r="C113" s="2"/>
      <c r="D113" s="2"/>
      <c r="E113" s="2"/>
      <c r="F113" s="2"/>
      <c r="G113" s="2"/>
      <c r="H113" s="2"/>
      <c r="I113" s="2"/>
      <c r="J113" s="11">
        <f>SUM(D111:J111)</f>
        <v>8515.0730565023514</v>
      </c>
      <c r="K113" s="2"/>
    </row>
    <row r="114" spans="1:11" x14ac:dyDescent="0.2">
      <c r="A114" s="3" t="s">
        <v>410</v>
      </c>
      <c r="B114" s="9" t="s">
        <v>56</v>
      </c>
      <c r="C114" s="2"/>
      <c r="D114" s="2"/>
      <c r="E114" s="2"/>
      <c r="F114" s="2"/>
      <c r="G114" s="2"/>
      <c r="H114" s="2"/>
      <c r="I114" s="2"/>
      <c r="J114" s="11">
        <f>DCF!$J$104*(1+Assumptions!$C$24)*(1-Assumptions!$C$24/Assumptions!$C$25)/(WACC!$C$14-Assumptions!$C$24)</f>
        <v>124704.26463490324</v>
      </c>
      <c r="K114" s="2"/>
    </row>
    <row r="115" spans="1:11" x14ac:dyDescent="0.2">
      <c r="A115" s="3" t="s">
        <v>411</v>
      </c>
      <c r="B115" s="9" t="s">
        <v>192</v>
      </c>
      <c r="C115" s="2"/>
      <c r="D115" s="2"/>
      <c r="E115" s="2"/>
      <c r="F115" s="2"/>
      <c r="G115" s="2"/>
      <c r="H115" s="2"/>
      <c r="I115" s="2"/>
      <c r="J115" s="14">
        <f>Multiples!$C$53</f>
        <v>6.727638088376561</v>
      </c>
      <c r="K115" s="9" t="s">
        <v>412</v>
      </c>
    </row>
    <row r="116" spans="1:11" x14ac:dyDescent="0.2">
      <c r="A116" s="3" t="s">
        <v>413</v>
      </c>
      <c r="B116" s="9" t="s">
        <v>56</v>
      </c>
      <c r="C116" s="2"/>
      <c r="D116" s="2"/>
      <c r="E116" s="2"/>
      <c r="F116" s="2"/>
      <c r="G116" s="2"/>
      <c r="H116" s="2"/>
      <c r="I116" s="2"/>
      <c r="J116" s="11">
        <f>DCF!$J$115*DCF!$J$101</f>
        <v>123009.39971791628</v>
      </c>
      <c r="K116" s="2"/>
    </row>
    <row r="117" spans="1:11" x14ac:dyDescent="0.2">
      <c r="A117" s="3" t="s">
        <v>414</v>
      </c>
      <c r="B117" s="9" t="s">
        <v>192</v>
      </c>
      <c r="C117" s="2"/>
      <c r="D117" s="2"/>
      <c r="E117" s="2"/>
      <c r="F117" s="2"/>
      <c r="G117" s="2"/>
      <c r="H117" s="2"/>
      <c r="I117" s="2"/>
      <c r="J117" s="30">
        <f>1/(1+WACC!$C$14)^6.5</f>
        <v>0.58830530726425412</v>
      </c>
      <c r="K117" s="2"/>
    </row>
    <row r="118" spans="1:11" x14ac:dyDescent="0.2">
      <c r="A118" s="3" t="s">
        <v>415</v>
      </c>
      <c r="B118" s="9" t="s">
        <v>56</v>
      </c>
      <c r="C118" s="2"/>
      <c r="D118" s="2"/>
      <c r="E118" s="2"/>
      <c r="F118" s="2"/>
      <c r="G118" s="2"/>
      <c r="H118" s="2"/>
      <c r="I118" s="2"/>
      <c r="J118" s="11">
        <f>DCF!$J$113+DCF!$J$114*DCF!$J$117</f>
        <v>81879.253779701961</v>
      </c>
      <c r="K118" s="2"/>
    </row>
    <row r="119" spans="1:11" x14ac:dyDescent="0.2">
      <c r="A119" s="3" t="s">
        <v>416</v>
      </c>
      <c r="B119" s="9" t="s">
        <v>56</v>
      </c>
      <c r="C119" s="2"/>
      <c r="D119" s="2"/>
      <c r="E119" s="2"/>
      <c r="F119" s="2"/>
      <c r="G119" s="2"/>
      <c r="H119" s="2"/>
      <c r="I119" s="2"/>
      <c r="J119" s="11">
        <f>DCF!$J$113+DCF!$J$116*DCF!$J$117</f>
        <v>80882.155753942541</v>
      </c>
      <c r="K119" s="2"/>
    </row>
    <row r="120" spans="1:11" x14ac:dyDescent="0.2">
      <c r="A120" s="3" t="s">
        <v>417</v>
      </c>
      <c r="B120" s="9" t="s">
        <v>150</v>
      </c>
      <c r="C120" s="2"/>
      <c r="D120" s="2"/>
      <c r="E120" s="2"/>
      <c r="F120" s="2"/>
      <c r="G120" s="2"/>
      <c r="H120" s="2"/>
      <c r="I120" s="2"/>
      <c r="J120" s="22">
        <f>DCF!$J$114*DCF!$J$117/DCF!$J$118</f>
        <v>0.89600451074685705</v>
      </c>
      <c r="K120" s="2"/>
    </row>
    <row r="121" spans="1:11" x14ac:dyDescent="0.2">
      <c r="A121" s="3" t="s">
        <v>418</v>
      </c>
      <c r="B121" s="9" t="s">
        <v>91</v>
      </c>
      <c r="C121" s="2"/>
      <c r="D121" s="2"/>
      <c r="E121" s="2"/>
      <c r="F121" s="2"/>
      <c r="G121" s="2"/>
      <c r="H121" s="2"/>
      <c r="I121" s="2"/>
      <c r="J121" s="16">
        <f>(DCF!$J$118-WACC!$C$15+Assumptions!$C$11)/Assumptions!$C$6</f>
        <v>201.39085664330054</v>
      </c>
      <c r="K121" s="2"/>
    </row>
    <row r="122" spans="1:11" x14ac:dyDescent="0.2">
      <c r="A122" s="3" t="s">
        <v>419</v>
      </c>
      <c r="B122" s="9" t="s">
        <v>91</v>
      </c>
      <c r="C122" s="2"/>
      <c r="D122" s="2"/>
      <c r="E122" s="2"/>
      <c r="F122" s="2"/>
      <c r="G122" s="2"/>
      <c r="H122" s="2"/>
      <c r="I122" s="2"/>
      <c r="J122" s="16">
        <f>(DCF!$J$119-WACC!$C$15+Assumptions!$C$11)/Assumptions!$C$6</f>
        <v>198.33789269425148</v>
      </c>
      <c r="K122" s="2"/>
    </row>
    <row r="123" spans="1:11" x14ac:dyDescent="0.2">
      <c r="A123" s="4" t="s">
        <v>420</v>
      </c>
      <c r="B123" s="9" t="s">
        <v>91</v>
      </c>
      <c r="C123" s="2"/>
      <c r="D123" s="2"/>
      <c r="E123" s="2"/>
      <c r="F123" s="2"/>
      <c r="G123" s="2"/>
      <c r="H123" s="2"/>
      <c r="I123" s="2"/>
      <c r="J123" s="31">
        <f>Assumptions!$C$13*DCF!$J$121+(1-Assumptions!$C$13)*DCF!$J$122</f>
        <v>199.86437466877601</v>
      </c>
      <c r="K123" s="2"/>
    </row>
    <row r="124" spans="1:11" x14ac:dyDescent="0.2">
      <c r="A124" s="3" t="s">
        <v>421</v>
      </c>
      <c r="B124" s="9" t="s">
        <v>192</v>
      </c>
      <c r="C124" s="2"/>
      <c r="D124" s="2"/>
      <c r="E124" s="2"/>
      <c r="F124" s="2"/>
      <c r="G124" s="2"/>
      <c r="H124" s="2"/>
      <c r="I124" s="2"/>
      <c r="J124" s="14">
        <f>DCF!$J$114/DCF!$J$101</f>
        <v>6.820333750629386</v>
      </c>
      <c r="K124" s="2"/>
    </row>
    <row r="125" spans="1:1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2">
      <c r="A126" s="9" t="s">
        <v>424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2">
      <c r="A127" s="9" t="s">
        <v>425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15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6" customWidth="1"/>
    <col min="2" max="2" width="9" customWidth="1"/>
    <col min="3" max="10" width="11" customWidth="1"/>
    <col min="11" max="11" width="70" customWidth="1"/>
  </cols>
  <sheetData>
    <row r="1" spans="1:11" ht="16" x14ac:dyDescent="0.2">
      <c r="A1" s="1" t="s">
        <v>426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">
      <c r="A3" s="5" t="s">
        <v>427</v>
      </c>
      <c r="B3" s="5"/>
      <c r="C3" s="6" t="s">
        <v>388</v>
      </c>
      <c r="D3" s="6" t="s">
        <v>217</v>
      </c>
      <c r="E3" s="6" t="s">
        <v>218</v>
      </c>
      <c r="F3" s="6" t="s">
        <v>219</v>
      </c>
      <c r="G3" s="6" t="s">
        <v>220</v>
      </c>
      <c r="H3" s="6" t="s">
        <v>221</v>
      </c>
      <c r="I3" s="6" t="s">
        <v>222</v>
      </c>
      <c r="J3" s="6" t="s">
        <v>223</v>
      </c>
      <c r="K3" s="6"/>
    </row>
    <row r="4" spans="1:11" x14ac:dyDescent="0.2">
      <c r="A4" s="3" t="s">
        <v>428</v>
      </c>
      <c r="B4" s="9" t="s">
        <v>429</v>
      </c>
      <c r="C4" s="2"/>
      <c r="D4" s="32">
        <v>-0.01</v>
      </c>
      <c r="E4" s="32">
        <v>-5.0000000000000001E-3</v>
      </c>
      <c r="F4" s="32">
        <v>0</v>
      </c>
      <c r="G4" s="32">
        <v>5.0000000000000001E-3</v>
      </c>
      <c r="H4" s="32">
        <v>0.01</v>
      </c>
      <c r="I4" s="2"/>
      <c r="J4" s="2"/>
      <c r="K4" s="9" t="s">
        <v>430</v>
      </c>
    </row>
    <row r="5" spans="1:11" x14ac:dyDescent="0.2">
      <c r="A5" s="5" t="s">
        <v>431</v>
      </c>
      <c r="B5" s="5" t="s">
        <v>22</v>
      </c>
      <c r="C5" s="6" t="s">
        <v>388</v>
      </c>
      <c r="D5" s="6" t="s">
        <v>217</v>
      </c>
      <c r="E5" s="6" t="s">
        <v>218</v>
      </c>
      <c r="F5" s="6" t="s">
        <v>219</v>
      </c>
      <c r="G5" s="6" t="s">
        <v>220</v>
      </c>
      <c r="H5" s="6" t="s">
        <v>221</v>
      </c>
      <c r="I5" s="6" t="s">
        <v>222</v>
      </c>
      <c r="J5" s="6" t="s">
        <v>223</v>
      </c>
      <c r="K5" s="6" t="s">
        <v>33</v>
      </c>
    </row>
    <row r="6" spans="1:11" x14ac:dyDescent="0.2">
      <c r="A6" s="3" t="s">
        <v>142</v>
      </c>
      <c r="B6" s="9" t="s">
        <v>36</v>
      </c>
      <c r="C6" s="11">
        <f>Hist!$I$5</f>
        <v>330284</v>
      </c>
      <c r="D6" s="11">
        <f>ReverseDCF!$C$6*(1+Assumptions!$C$35)</f>
        <v>338541.1</v>
      </c>
      <c r="E6" s="11">
        <f>ReverseDCF!$D$6*(1+Assumptions!$D$35)</f>
        <v>352082.74400000001</v>
      </c>
      <c r="F6" s="11">
        <f>ReverseDCF!$E$6*(1+Assumptions!$E$35)</f>
        <v>369686.8812</v>
      </c>
      <c r="G6" s="11">
        <f>ReverseDCF!$F$6*(1+Assumptions!$F$35)</f>
        <v>388171.22526000004</v>
      </c>
      <c r="H6" s="11">
        <f>ReverseDCF!$G$6*(1+Assumptions!$G$35)</f>
        <v>405638.93039669999</v>
      </c>
      <c r="I6" s="11">
        <f>ReverseDCF!$H$6*(1+Assumptions!$H$35)</f>
        <v>421864.48761256802</v>
      </c>
      <c r="J6" s="11">
        <f>ReverseDCF!$I$6*(1+Assumptions!$I$35)</f>
        <v>436629.74467900785</v>
      </c>
      <c r="K6" s="2"/>
    </row>
    <row r="7" spans="1:11" x14ac:dyDescent="0.2">
      <c r="A7" s="3" t="s">
        <v>389</v>
      </c>
      <c r="B7" s="9" t="s">
        <v>167</v>
      </c>
      <c r="C7" s="16">
        <f>Metrics!$I$13</f>
        <v>14.118152862385099</v>
      </c>
      <c r="D7" s="16">
        <f>ReverseDCF!$C$7*(1+Assumptions!$C$15)</f>
        <v>13.976971333761247</v>
      </c>
      <c r="E7" s="16">
        <f>ReverseDCF!$D$7*(1+Assumptions!$D$15)</f>
        <v>13.837201620423635</v>
      </c>
      <c r="F7" s="16">
        <f>ReverseDCF!$E$7*(1+Assumptions!$E$15)</f>
        <v>13.698829604219398</v>
      </c>
      <c r="G7" s="16">
        <f>ReverseDCF!$F$7*(1+Assumptions!$F$15)</f>
        <v>13.561841308177204</v>
      </c>
      <c r="H7" s="16">
        <f>ReverseDCF!$G$7*(1+Assumptions!$G$15)</f>
        <v>13.426222895095432</v>
      </c>
      <c r="I7" s="16">
        <f>ReverseDCF!$H$7*(1+Assumptions!$H$15)</f>
        <v>13.291960666144478</v>
      </c>
      <c r="J7" s="16">
        <f>ReverseDCF!$I$7*(1+Assumptions!$I$15)</f>
        <v>13.159041059483032</v>
      </c>
      <c r="K7" s="2"/>
    </row>
    <row r="8" spans="1:11" x14ac:dyDescent="0.2">
      <c r="A8" s="3" t="s">
        <v>147</v>
      </c>
      <c r="B8" s="9" t="s">
        <v>148</v>
      </c>
      <c r="C8" s="16">
        <f>Hist!$I$9</f>
        <v>2.44</v>
      </c>
      <c r="D8" s="16">
        <f>Assumptions!$C$39</f>
        <v>3.97</v>
      </c>
      <c r="E8" s="16">
        <f>Assumptions!$D$39</f>
        <v>3.3</v>
      </c>
      <c r="F8" s="16">
        <f>Assumptions!$E$39</f>
        <v>3</v>
      </c>
      <c r="G8" s="16">
        <f>Assumptions!$F$39</f>
        <v>2.9</v>
      </c>
      <c r="H8" s="16">
        <f>Assumptions!$G$39</f>
        <v>2.9</v>
      </c>
      <c r="I8" s="16">
        <f>Assumptions!$H$39</f>
        <v>2.95</v>
      </c>
      <c r="J8" s="16">
        <f>Assumptions!$I$39</f>
        <v>3</v>
      </c>
      <c r="K8" s="2"/>
    </row>
    <row r="9" spans="1:11" x14ac:dyDescent="0.2">
      <c r="A9" s="3" t="s">
        <v>164</v>
      </c>
      <c r="B9" s="9" t="s">
        <v>42</v>
      </c>
      <c r="C9" s="16">
        <f>ReverseDCF!$C$7*ReverseDCF!$C$8/10</f>
        <v>3.4448292984219639</v>
      </c>
      <c r="D9" s="16">
        <f>ReverseDCF!$D$7*ReverseDCF!$D$8/10</f>
        <v>5.5488576195032149</v>
      </c>
      <c r="E9" s="16">
        <f>ReverseDCF!$E$7*ReverseDCF!$E$8/10</f>
        <v>4.5662765347397993</v>
      </c>
      <c r="F9" s="16">
        <f>ReverseDCF!$F$7*ReverseDCF!$F$8/10</f>
        <v>4.1096488812658194</v>
      </c>
      <c r="G9" s="16">
        <f>ReverseDCF!$G$7*ReverseDCF!$G$8/10</f>
        <v>3.9329339793713891</v>
      </c>
      <c r="H9" s="16">
        <f>ReverseDCF!$H$7*ReverseDCF!$H$8/10</f>
        <v>3.8936046395776751</v>
      </c>
      <c r="I9" s="16">
        <f>ReverseDCF!$I$7*ReverseDCF!$I$8/10</f>
        <v>3.9211283965126214</v>
      </c>
      <c r="J9" s="16">
        <f>ReverseDCF!$J$7*ReverseDCF!$J$8/10</f>
        <v>3.9477123178449096</v>
      </c>
      <c r="K9" s="2"/>
    </row>
    <row r="10" spans="1:11" x14ac:dyDescent="0.2">
      <c r="A10" s="3" t="s">
        <v>390</v>
      </c>
      <c r="B10" s="9" t="s">
        <v>42</v>
      </c>
      <c r="C10" s="16">
        <f>Metrics!$I$8</f>
        <v>17.884608397621442</v>
      </c>
      <c r="D10" s="16">
        <f>ReverseDCF!$C$10*(1+Assumptions!$C$36)+Assumptions!$C$37*(ReverseDCF!$D$9-ReverseDCF!$C$9)</f>
        <v>20.014946264426978</v>
      </c>
      <c r="E10" s="16">
        <f>ReverseDCF!$D$10*(1+Assumptions!$D$36+ReverseDCF!$D$4)+Assumptions!$D$37*(ReverseDCF!$E$9-ReverseDCF!$D$9)</f>
        <v>19.478159913498686</v>
      </c>
      <c r="F10" s="16">
        <f>ReverseDCF!$E$10*(1+Assumptions!$E$36+ReverseDCF!$D$4)+Assumptions!$E$37*(ReverseDCF!$F$9-ReverseDCF!$E$9)</f>
        <v>19.313704658727186</v>
      </c>
      <c r="G10" s="16">
        <f>ReverseDCF!$F$10*(1+Assumptions!$F$36+ReverseDCF!$D$4)+Assumptions!$F$37*(ReverseDCF!$G$9-ReverseDCF!$F$9)</f>
        <v>19.426695326713659</v>
      </c>
      <c r="H10" s="16">
        <f>ReverseDCF!$G$10*(1+Assumptions!$G$36+ReverseDCF!$D$4)+Assumptions!$G$37*(ReverseDCF!$H$9-ReverseDCF!$G$9)</f>
        <v>19.67876641682065</v>
      </c>
      <c r="I10" s="16">
        <f>ReverseDCF!$H$10*(1+Assumptions!$H$36+ReverseDCF!$D$4)+Assumptions!$H$37*(ReverseDCF!$I$9-ReverseDCF!$H$9)</f>
        <v>20.001471670007906</v>
      </c>
      <c r="J10" s="16">
        <f>ReverseDCF!$I$10*(1+Assumptions!$I$36+ReverseDCF!$D$4)+Assumptions!$I$37*(ReverseDCF!$J$9-ReverseDCF!$I$9)</f>
        <v>20.32807766639031</v>
      </c>
      <c r="K10" s="2"/>
    </row>
    <row r="11" spans="1:11" x14ac:dyDescent="0.2">
      <c r="A11" s="4" t="s">
        <v>144</v>
      </c>
      <c r="B11" s="9" t="s">
        <v>56</v>
      </c>
      <c r="C11" s="15">
        <f>Hist!$I$19</f>
        <v>59070</v>
      </c>
      <c r="D11" s="15">
        <f>ReverseDCF!$D$6*ReverseDCF!$D$10/100</f>
        <v>67758.819247999985</v>
      </c>
      <c r="E11" s="15">
        <f>ReverseDCF!$E$6*ReverseDCF!$E$10/100</f>
        <v>68579.239904154208</v>
      </c>
      <c r="F11" s="15">
        <f>ReverseDCF!$F$6*ReverseDCF!$F$10/100</f>
        <v>71400.232397027634</v>
      </c>
      <c r="G11" s="15">
        <f>ReverseDCF!$G$6*ReverseDCF!$G$10/100</f>
        <v>75408.841277231579</v>
      </c>
      <c r="H11" s="15">
        <f>ReverseDCF!$H$6*ReverseDCF!$H$10/100</f>
        <v>79824.737608456286</v>
      </c>
      <c r="I11" s="15">
        <f>ReverseDCF!$I$6*ReverseDCF!$I$10/100</f>
        <v>84379.105975651793</v>
      </c>
      <c r="J11" s="15">
        <f>ReverseDCF!$J$6*ReverseDCF!$J$10/100</f>
        <v>88758.433612910434</v>
      </c>
      <c r="K11" s="2"/>
    </row>
    <row r="12" spans="1:11" x14ac:dyDescent="0.2">
      <c r="A12" s="3" t="s">
        <v>146</v>
      </c>
      <c r="B12" s="9" t="s">
        <v>42</v>
      </c>
      <c r="C12" s="16">
        <f>Metrics!$I$10</f>
        <v>12.64</v>
      </c>
      <c r="D12" s="16">
        <f>ReverseDCF!$C$12*(1+Assumptions!$C$38)</f>
        <v>13.3352</v>
      </c>
      <c r="E12" s="16">
        <f>ReverseDCF!$D$12*(1+Assumptions!$D$38)</f>
        <v>13.668579999999999</v>
      </c>
      <c r="F12" s="16">
        <f>ReverseDCF!$E$12*(1+Assumptions!$E$38)</f>
        <v>13.941951599999999</v>
      </c>
      <c r="G12" s="16">
        <f>ReverseDCF!$F$12*(1+Assumptions!$F$38)</f>
        <v>14.262616486799999</v>
      </c>
      <c r="H12" s="16">
        <f>ReverseDCF!$G$12*(1+Assumptions!$G$38)</f>
        <v>14.647707131943598</v>
      </c>
      <c r="I12" s="16">
        <f>ReverseDCF!$H$12*(1+Assumptions!$H$38)</f>
        <v>15.043195224506073</v>
      </c>
      <c r="J12" s="16">
        <f>ReverseDCF!$I$12*(1+Assumptions!$I$38)</f>
        <v>15.449361495567736</v>
      </c>
      <c r="K12" s="2"/>
    </row>
    <row r="13" spans="1:11" x14ac:dyDescent="0.2">
      <c r="A13" s="3" t="s">
        <v>391</v>
      </c>
      <c r="B13" s="9" t="s">
        <v>56</v>
      </c>
      <c r="C13" s="2"/>
      <c r="D13" s="11">
        <f>ReverseDCF!$D$6*ReverseDCF!$D$12/100</f>
        <v>45145.132767199997</v>
      </c>
      <c r="E13" s="11">
        <f>ReverseDCF!$E$6*ReverseDCF!$E$12/100</f>
        <v>48124.711529835193</v>
      </c>
      <c r="F13" s="11">
        <f>ReverseDCF!$F$6*ReverseDCF!$F$12/100</f>
        <v>51541.566048453496</v>
      </c>
      <c r="G13" s="11">
        <f>ReverseDCF!$G$6*ReverseDCF!$G$12/100</f>
        <v>55363.373170946325</v>
      </c>
      <c r="H13" s="11">
        <f>ReverseDCF!$H$6*ReverseDCF!$H$12/100</f>
        <v>59416.802537657153</v>
      </c>
      <c r="I13" s="11">
        <f>ReverseDCF!$I$6*ReverseDCF!$I$12/100</f>
        <v>63461.898454420843</v>
      </c>
      <c r="J13" s="11">
        <f>ReverseDCF!$J$6*ReverseDCF!$J$12/100</f>
        <v>67456.507652634347</v>
      </c>
      <c r="K13" s="2"/>
    </row>
    <row r="14" spans="1:11" x14ac:dyDescent="0.2">
      <c r="A14" s="3" t="s">
        <v>392</v>
      </c>
      <c r="B14" s="9" t="s">
        <v>56</v>
      </c>
      <c r="C14" s="2"/>
      <c r="D14" s="11">
        <f>ReverseDCF!$D$6*ReverseDCF!$D$9/100</f>
        <v>18785.163622499997</v>
      </c>
      <c r="E14" s="11">
        <f>ReverseDCF!$E$6*ReverseDCF!$E$9/100</f>
        <v>16077.071722139997</v>
      </c>
      <c r="F14" s="11">
        <f>ReverseDCF!$F$6*ReverseDCF!$F$9/100</f>
        <v>15192.832777422298</v>
      </c>
      <c r="G14" s="11">
        <f>ReverseDCF!$G$6*ReverseDCF!$G$9/100</f>
        <v>15266.518016392798</v>
      </c>
      <c r="H14" s="11">
        <f>ReverseDCF!$H$6*ReverseDCF!$H$9/100</f>
        <v>15793.976213859167</v>
      </c>
      <c r="I14" s="11">
        <f>ReverseDCF!$I$6*ReverseDCF!$I$9/100</f>
        <v>16541.848218578874</v>
      </c>
      <c r="J14" s="11">
        <f>ReverseDCF!$J$6*ReverseDCF!$J$9/100</f>
        <v>17236.88621406797</v>
      </c>
      <c r="K14" s="2"/>
    </row>
    <row r="15" spans="1:11" x14ac:dyDescent="0.2">
      <c r="A15" s="3" t="s">
        <v>393</v>
      </c>
      <c r="B15" s="9" t="s">
        <v>56</v>
      </c>
      <c r="C15" s="2"/>
      <c r="D15" s="11">
        <f>ReverseDCF!$D$11*Assumptions!$C$16</f>
        <v>304.91468661599993</v>
      </c>
      <c r="E15" s="11">
        <f>ReverseDCF!$E$11*Assumptions!$D$16</f>
        <v>308.60657956869392</v>
      </c>
      <c r="F15" s="11">
        <f>ReverseDCF!$F$11*Assumptions!$E$16</f>
        <v>321.30104578662434</v>
      </c>
      <c r="G15" s="11">
        <f>ReverseDCF!$G$11*Assumptions!$F$16</f>
        <v>339.33978574754207</v>
      </c>
      <c r="H15" s="11">
        <f>ReverseDCF!$H$11*Assumptions!$G$16</f>
        <v>359.21131923805325</v>
      </c>
      <c r="I15" s="11">
        <f>ReverseDCF!$I$11*Assumptions!$H$16</f>
        <v>379.70597689043302</v>
      </c>
      <c r="J15" s="11">
        <f>ReverseDCF!$J$11*Assumptions!$I$16</f>
        <v>399.41295125809694</v>
      </c>
      <c r="K15" s="2"/>
    </row>
    <row r="16" spans="1:11" x14ac:dyDescent="0.2">
      <c r="A16" s="3" t="s">
        <v>394</v>
      </c>
      <c r="B16" s="9" t="s">
        <v>56</v>
      </c>
      <c r="C16" s="2"/>
      <c r="D16" s="11">
        <f>ReverseDCF!$D$11-ReverseDCF!$D$13-ReverseDCF!$D$14-ReverseDCF!$D$15</f>
        <v>3523.6081716839917</v>
      </c>
      <c r="E16" s="11">
        <f>ReverseDCF!$E$11-ReverseDCF!$E$13-ReverseDCF!$E$14-ReverseDCF!$E$15</f>
        <v>4068.8500726103243</v>
      </c>
      <c r="F16" s="11">
        <f>ReverseDCF!$F$11-ReverseDCF!$F$13-ReverseDCF!$F$14-ReverseDCF!$F$15</f>
        <v>4344.5325253652154</v>
      </c>
      <c r="G16" s="11">
        <f>ReverseDCF!$G$11-ReverseDCF!$G$13-ReverseDCF!$G$14-ReverseDCF!$G$15</f>
        <v>4439.6103041449142</v>
      </c>
      <c r="H16" s="11">
        <f>ReverseDCF!$H$11-ReverseDCF!$H$13-ReverseDCF!$H$14-ReverseDCF!$H$15</f>
        <v>4254.7475377019127</v>
      </c>
      <c r="I16" s="11">
        <f>ReverseDCF!$I$11-ReverseDCF!$I$13-ReverseDCF!$I$14-ReverseDCF!$I$15</f>
        <v>3995.6533257616429</v>
      </c>
      <c r="J16" s="11">
        <f>ReverseDCF!$J$11-ReverseDCF!$J$13-ReverseDCF!$J$14-ReverseDCF!$J$15</f>
        <v>3665.6267949500193</v>
      </c>
      <c r="K16" s="2"/>
    </row>
    <row r="17" spans="1:11" x14ac:dyDescent="0.2">
      <c r="A17" s="3" t="s">
        <v>250</v>
      </c>
      <c r="B17" s="9" t="s">
        <v>56</v>
      </c>
      <c r="C17" s="2"/>
      <c r="D17" s="11">
        <f>MAX(0,ReverseDCF!$D$16)*Assumptions!$C$17</f>
        <v>422.83298060207898</v>
      </c>
      <c r="E17" s="11">
        <f>MAX(0,ReverseDCF!$E$16)*Assumptions!$D$17</f>
        <v>488.26200871323891</v>
      </c>
      <c r="F17" s="11">
        <f>MAX(0,ReverseDCF!$F$16)*Assumptions!$E$17</f>
        <v>521.34390304382578</v>
      </c>
      <c r="G17" s="11">
        <f>MAX(0,ReverseDCF!$G$16)*Assumptions!$F$17</f>
        <v>532.75323649738971</v>
      </c>
      <c r="H17" s="11">
        <f>MAX(0,ReverseDCF!$H$16)*Assumptions!$G$17</f>
        <v>510.56970452422951</v>
      </c>
      <c r="I17" s="11">
        <f>MAX(0,ReverseDCF!$I$16)*Assumptions!$H$17</f>
        <v>479.47839909139714</v>
      </c>
      <c r="J17" s="11">
        <f>MAX(0,ReverseDCF!$J$16)*Assumptions!$I$17</f>
        <v>439.87521539400228</v>
      </c>
      <c r="K17" s="2"/>
    </row>
    <row r="18" spans="1:11" x14ac:dyDescent="0.2">
      <c r="A18" s="4" t="s">
        <v>395</v>
      </c>
      <c r="B18" s="9" t="s">
        <v>56</v>
      </c>
      <c r="C18" s="15">
        <f>Hist!$I$31</f>
        <v>4972</v>
      </c>
      <c r="D18" s="15">
        <f>ReverseDCF!$D$16-ReverseDCF!$D$17</f>
        <v>3100.7751910819129</v>
      </c>
      <c r="E18" s="15">
        <f>ReverseDCF!$E$16-ReverseDCF!$E$17</f>
        <v>3580.5880638970852</v>
      </c>
      <c r="F18" s="15">
        <f>ReverseDCF!$F$16-ReverseDCF!$F$17</f>
        <v>3823.1886223213896</v>
      </c>
      <c r="G18" s="15">
        <f>ReverseDCF!$G$16-ReverseDCF!$G$17</f>
        <v>3906.8570676475247</v>
      </c>
      <c r="H18" s="15">
        <f>ReverseDCF!$H$16-ReverseDCF!$H$17</f>
        <v>3744.1778331776832</v>
      </c>
      <c r="I18" s="15">
        <f>ReverseDCF!$I$16-ReverseDCF!$I$17</f>
        <v>3516.1749266702459</v>
      </c>
      <c r="J18" s="15">
        <f>ReverseDCF!$J$16-ReverseDCF!$J$17</f>
        <v>3225.7515795560171</v>
      </c>
      <c r="K18" s="2"/>
    </row>
    <row r="19" spans="1:11" x14ac:dyDescent="0.2">
      <c r="A19" s="3" t="s">
        <v>149</v>
      </c>
      <c r="B19" s="9" t="s">
        <v>150</v>
      </c>
      <c r="C19" s="19">
        <f>ReverseDCF!$C$18/ReverseDCF!$C$11</f>
        <v>8.417132216014897E-2</v>
      </c>
      <c r="D19" s="19">
        <f>ReverseDCF!$D$18/ReverseDCF!$D$11</f>
        <v>4.5761942511615382E-2</v>
      </c>
      <c r="E19" s="19">
        <f>ReverseDCF!$E$18/ReverseDCF!$E$11</f>
        <v>5.2210961639430335E-2</v>
      </c>
      <c r="F19" s="19">
        <f>ReverseDCF!$F$18/ReverseDCF!$F$11</f>
        <v>5.3545884851777421E-2</v>
      </c>
      <c r="G19" s="19">
        <f>ReverseDCF!$G$18/ReverseDCF!$G$11</f>
        <v>5.1809005435906809E-2</v>
      </c>
      <c r="H19" s="19">
        <f>ReverseDCF!$H$18/ReverseDCF!$H$11</f>
        <v>4.69049814049253E-2</v>
      </c>
      <c r="I19" s="19">
        <f>ReverseDCF!$I$18/ReverseDCF!$I$11</f>
        <v>4.1671156455306176E-2</v>
      </c>
      <c r="J19" s="19">
        <f>ReverseDCF!$J$18/ReverseDCF!$J$11</f>
        <v>3.634304311434821E-2</v>
      </c>
      <c r="K19" s="2"/>
    </row>
    <row r="20" spans="1:11" x14ac:dyDescent="0.2">
      <c r="A20" s="3" t="s">
        <v>253</v>
      </c>
      <c r="B20" s="9" t="s">
        <v>56</v>
      </c>
      <c r="C20" s="11">
        <f>Hist!$I$26</f>
        <v>2939</v>
      </c>
      <c r="D20" s="11">
        <f>ReverseDCF!$D$11*Assumptions!$C$18</f>
        <v>3252.4233239039995</v>
      </c>
      <c r="E20" s="11">
        <f>ReverseDCF!$E$11*Assumptions!$D$18</f>
        <v>3291.8035153994019</v>
      </c>
      <c r="F20" s="11">
        <f>ReverseDCF!$F$11*Assumptions!$E$18</f>
        <v>3427.2111550573263</v>
      </c>
      <c r="G20" s="11">
        <f>ReverseDCF!$G$11*Assumptions!$F$18</f>
        <v>3619.624381307116</v>
      </c>
      <c r="H20" s="11">
        <f>ReverseDCF!$H$11*Assumptions!$G$18</f>
        <v>3831.5874052059016</v>
      </c>
      <c r="I20" s="11">
        <f>ReverseDCF!$I$11*Assumptions!$H$18</f>
        <v>4050.197086831286</v>
      </c>
      <c r="J20" s="11">
        <f>ReverseDCF!$J$11*Assumptions!$I$18</f>
        <v>4260.404813419701</v>
      </c>
      <c r="K20" s="2"/>
    </row>
    <row r="21" spans="1:11" x14ac:dyDescent="0.2">
      <c r="A21" s="3" t="s">
        <v>396</v>
      </c>
      <c r="B21" s="9" t="s">
        <v>56</v>
      </c>
      <c r="C21" s="11">
        <f>Metrics!$I$31</f>
        <v>8970</v>
      </c>
      <c r="D21" s="11">
        <f>ReverseDCF!$D$18+ReverseDCF!$D$20+ReverseDCF!$D$11*Assumptions!$C$19</f>
        <v>7403.4602133299122</v>
      </c>
      <c r="E21" s="11">
        <f>ReverseDCF!$E$18+ReverseDCF!$E$20+ReverseDCF!$E$11*Assumptions!$D$19</f>
        <v>7935.3697978108776</v>
      </c>
      <c r="F21" s="11">
        <f>ReverseDCF!$F$18+ReverseDCF!$F$20+ReverseDCF!$F$11*Assumptions!$E$19</f>
        <v>8357.1033795326439</v>
      </c>
      <c r="G21" s="11">
        <f>ReverseDCF!$G$18+ReverseDCF!$G$20+ReverseDCF!$G$11*Assumptions!$F$19</f>
        <v>8695.3184887517309</v>
      </c>
      <c r="H21" s="11">
        <f>ReverseDCF!$H$18+ReverseDCF!$H$20+ReverseDCF!$H$11*Assumptions!$G$19</f>
        <v>8813.0486713146565</v>
      </c>
      <c r="I21" s="11">
        <f>ReverseDCF!$I$18+ReverseDCF!$I$20+ReverseDCF!$I$11*Assumptions!$H$19</f>
        <v>8874.2481561241348</v>
      </c>
      <c r="J21" s="11">
        <f>ReverseDCF!$J$18+ReverseDCF!$J$20+ReverseDCF!$J$11*Assumptions!$I$19</f>
        <v>8861.9121139758299</v>
      </c>
      <c r="K21" s="2"/>
    </row>
    <row r="22" spans="1:11" x14ac:dyDescent="0.2">
      <c r="A22" s="3" t="s">
        <v>397</v>
      </c>
      <c r="B22" s="9" t="s">
        <v>56</v>
      </c>
      <c r="C22" s="2"/>
      <c r="D22" s="11">
        <f>Hist!$K$51</f>
        <v>7204</v>
      </c>
      <c r="E22" s="11">
        <f>ReverseDCF!$D$22*(1+Assumptions!$D$35)</f>
        <v>7492.16</v>
      </c>
      <c r="F22" s="11">
        <f>ReverseDCF!$E$22*(1+Assumptions!$E$35)</f>
        <v>7866.768</v>
      </c>
      <c r="G22" s="11">
        <f>ReverseDCF!$F$22*(1+Assumptions!$F$35)</f>
        <v>8260.1064000000006</v>
      </c>
      <c r="H22" s="11">
        <f>ReverseDCF!$G$22*(1+Assumptions!$G$35)</f>
        <v>8631.8111879999997</v>
      </c>
      <c r="I22" s="11">
        <f>ReverseDCF!$H$22*(1+Assumptions!$H$35)</f>
        <v>8977.0836355200008</v>
      </c>
      <c r="J22" s="11">
        <f>ReverseDCF!$I$22*(1+Assumptions!$I$35)</f>
        <v>9291.2815627632008</v>
      </c>
      <c r="K22" s="2"/>
    </row>
    <row r="23" spans="1:11" x14ac:dyDescent="0.2">
      <c r="A23" s="3" t="s">
        <v>398</v>
      </c>
      <c r="B23" s="9" t="s">
        <v>56</v>
      </c>
      <c r="C23" s="2"/>
      <c r="D23" s="11">
        <f>ReverseDCF!$D$22*Assumptions!$C$20</f>
        <v>468.26</v>
      </c>
      <c r="E23" s="11">
        <f>ReverseDCF!$E$22*Assumptions!$C$20</f>
        <v>486.99040000000002</v>
      </c>
      <c r="F23" s="11">
        <f>ReverseDCF!$F$22*Assumptions!$C$20</f>
        <v>511.33992000000001</v>
      </c>
      <c r="G23" s="11">
        <f>ReverseDCF!$G$22*Assumptions!$C$20</f>
        <v>536.90691600000002</v>
      </c>
      <c r="H23" s="11">
        <f>ReverseDCF!$H$22*Assumptions!$C$20</f>
        <v>561.06772722000005</v>
      </c>
      <c r="I23" s="11">
        <f>ReverseDCF!$I$22*Assumptions!$C$20</f>
        <v>583.51043630880008</v>
      </c>
      <c r="J23" s="11">
        <f>ReverseDCF!$J$22*Assumptions!$C$20</f>
        <v>603.93330157960804</v>
      </c>
      <c r="K23" s="2"/>
    </row>
    <row r="24" spans="1:11" x14ac:dyDescent="0.2">
      <c r="A24" s="3" t="s">
        <v>399</v>
      </c>
      <c r="B24" s="9" t="s">
        <v>56</v>
      </c>
      <c r="C24" s="2"/>
      <c r="D24" s="11">
        <f>(ReverseDCF!$D$18+ReverseDCF!$D$23)*(1-Assumptions!$C$10)</f>
        <v>2783.8474490438921</v>
      </c>
      <c r="E24" s="11">
        <f>(ReverseDCF!$E$18+ReverseDCF!$E$23)*(1-Assumptions!$C$10)</f>
        <v>3172.7112018397265</v>
      </c>
      <c r="F24" s="11">
        <f>(ReverseDCF!$F$18+ReverseDCF!$F$23)*(1-Assumptions!$C$10)</f>
        <v>3380.9322630106844</v>
      </c>
      <c r="G24" s="11">
        <f>(ReverseDCF!$G$18+ReverseDCF!$G$23)*(1-Assumptions!$C$10)</f>
        <v>3466.1359072450691</v>
      </c>
      <c r="H24" s="11">
        <f>(ReverseDCF!$H$18+ReverseDCF!$H$23)*(1-Assumptions!$C$10)</f>
        <v>3358.0915371101928</v>
      </c>
      <c r="I24" s="11">
        <f>(ReverseDCF!$I$18+ReverseDCF!$I$23)*(1-Assumptions!$C$10)</f>
        <v>3197.7545831236557</v>
      </c>
      <c r="J24" s="11">
        <f>(ReverseDCF!$J$18+ReverseDCF!$J$23)*(1-Assumptions!$C$10)</f>
        <v>2987.1542072857874</v>
      </c>
      <c r="K24" s="2"/>
    </row>
    <row r="25" spans="1:11" x14ac:dyDescent="0.2">
      <c r="A25" s="3" t="s">
        <v>278</v>
      </c>
      <c r="B25" s="9" t="s">
        <v>56</v>
      </c>
      <c r="C25" s="2"/>
      <c r="D25" s="11">
        <f>Assumptions!$C$23</f>
        <v>7500</v>
      </c>
      <c r="E25" s="11">
        <f>ReverseDCF!$E$11*Assumptions!$D$40</f>
        <v>7886.612588977734</v>
      </c>
      <c r="F25" s="11">
        <f>ReverseDCF!$F$11*Assumptions!$E$40</f>
        <v>8568.0278876433149</v>
      </c>
      <c r="G25" s="11">
        <f>ReverseDCF!$G$11*Assumptions!$F$40</f>
        <v>9049.06095326779</v>
      </c>
      <c r="H25" s="11">
        <f>ReverseDCF!$H$11*Assumptions!$G$40</f>
        <v>8780.7211369301913</v>
      </c>
      <c r="I25" s="11">
        <f>ReverseDCF!$I$11*Assumptions!$H$40</f>
        <v>8859.8061274434385</v>
      </c>
      <c r="J25" s="11">
        <f>ReverseDCF!$J$11*Assumptions!$I$40</f>
        <v>8875.843361291043</v>
      </c>
      <c r="K25" s="2"/>
    </row>
    <row r="26" spans="1:11" x14ac:dyDescent="0.2">
      <c r="A26" s="3" t="s">
        <v>400</v>
      </c>
      <c r="B26" s="9" t="s">
        <v>56</v>
      </c>
      <c r="C26" s="2"/>
      <c r="D26" s="11">
        <f>(ReverseDCF!$D$11-ReverseDCF!$C$11)*Assumptions!$C$21</f>
        <v>868.88192479999861</v>
      </c>
      <c r="E26" s="11">
        <f>(ReverseDCF!$E$11-ReverseDCF!$D$11)*Assumptions!$D$21</f>
        <v>82.042065615422331</v>
      </c>
      <c r="F26" s="11">
        <f>(ReverseDCF!$F$11-ReverseDCF!$E$11)*Assumptions!$E$21</f>
        <v>282.09924928734256</v>
      </c>
      <c r="G26" s="11">
        <f>(ReverseDCF!$G$11-ReverseDCF!$F$11)*Assumptions!$F$21</f>
        <v>400.8608880203945</v>
      </c>
      <c r="H26" s="11">
        <f>(ReverseDCF!$H$11-ReverseDCF!$G$11)*Assumptions!$G$21</f>
        <v>441.58963312247073</v>
      </c>
      <c r="I26" s="11">
        <f>(ReverseDCF!$I$11-ReverseDCF!$H$11)*Assumptions!$H$21</f>
        <v>455.4368367195508</v>
      </c>
      <c r="J26" s="11">
        <f>(ReverseDCF!$J$11-ReverseDCF!$I$11)*Assumptions!$I$21</f>
        <v>437.93276372586411</v>
      </c>
      <c r="K26" s="2"/>
    </row>
    <row r="27" spans="1:11" x14ac:dyDescent="0.2">
      <c r="A27" s="4" t="s">
        <v>401</v>
      </c>
      <c r="B27" s="9" t="s">
        <v>56</v>
      </c>
      <c r="C27" s="2"/>
      <c r="D27" s="15">
        <f>ReverseDCF!$D$24+ReverseDCF!$D$20-ReverseDCF!$D$25+ReverseDCF!$D$26</f>
        <v>-594.84730225210978</v>
      </c>
      <c r="E27" s="15">
        <f>ReverseDCF!$E$24+ReverseDCF!$E$20-ReverseDCF!$E$25+ReverseDCF!$E$26</f>
        <v>-1340.0558061231836</v>
      </c>
      <c r="F27" s="15">
        <f>ReverseDCF!$F$24+ReverseDCF!$F$20-ReverseDCF!$F$25+ReverseDCF!$F$26</f>
        <v>-1477.7852202879617</v>
      </c>
      <c r="G27" s="15">
        <f>ReverseDCF!$G$24+ReverseDCF!$G$20-ReverseDCF!$G$25+ReverseDCF!$G$26</f>
        <v>-1562.4397766952109</v>
      </c>
      <c r="H27" s="15">
        <f>ReverseDCF!$H$24+ReverseDCF!$H$20-ReverseDCF!$H$25+ReverseDCF!$H$26</f>
        <v>-1149.4525614916261</v>
      </c>
      <c r="I27" s="15">
        <f>ReverseDCF!$I$24+ReverseDCF!$I$20-ReverseDCF!$I$25+ReverseDCF!$I$26</f>
        <v>-1156.4176207689457</v>
      </c>
      <c r="J27" s="15">
        <f>ReverseDCF!$J$24+ReverseDCF!$J$20-ReverseDCF!$J$25+ReverseDCF!$J$26</f>
        <v>-1190.3515768596906</v>
      </c>
      <c r="K27" s="2"/>
    </row>
    <row r="28" spans="1:11" x14ac:dyDescent="0.2">
      <c r="A28" s="3" t="s">
        <v>402</v>
      </c>
      <c r="B28" s="9" t="s">
        <v>56</v>
      </c>
      <c r="C28" s="2"/>
      <c r="D28" s="11">
        <f>ReverseDCF!$D$27-Assumptions!$C$12</f>
        <v>-4032.7873022521098</v>
      </c>
      <c r="E28" s="11">
        <f>ReverseDCF!$E$27</f>
        <v>-1340.0558061231836</v>
      </c>
      <c r="F28" s="11">
        <f>ReverseDCF!$F$27</f>
        <v>-1477.7852202879617</v>
      </c>
      <c r="G28" s="11">
        <f>ReverseDCF!$G$27</f>
        <v>-1562.4397766952109</v>
      </c>
      <c r="H28" s="11">
        <f>ReverseDCF!$H$27</f>
        <v>-1149.4525614916261</v>
      </c>
      <c r="I28" s="11">
        <f>ReverseDCF!$I$27</f>
        <v>-1156.4176207689457</v>
      </c>
      <c r="J28" s="11">
        <f>ReverseDCF!$J$27</f>
        <v>-1190.3515768596906</v>
      </c>
      <c r="K28" s="2"/>
    </row>
    <row r="29" spans="1:11" x14ac:dyDescent="0.2">
      <c r="A29" s="3" t="s">
        <v>403</v>
      </c>
      <c r="B29" s="9" t="s">
        <v>404</v>
      </c>
      <c r="C29" s="2"/>
      <c r="D29" s="12">
        <v>0.25</v>
      </c>
      <c r="E29" s="12">
        <v>1</v>
      </c>
      <c r="F29" s="12">
        <v>2</v>
      </c>
      <c r="G29" s="12">
        <v>3</v>
      </c>
      <c r="H29" s="12">
        <v>4</v>
      </c>
      <c r="I29" s="12">
        <v>5</v>
      </c>
      <c r="J29" s="12">
        <v>6</v>
      </c>
      <c r="K29" s="9" t="s">
        <v>405</v>
      </c>
    </row>
    <row r="30" spans="1:11" x14ac:dyDescent="0.2">
      <c r="A30" s="3" t="s">
        <v>406</v>
      </c>
      <c r="B30" s="9" t="s">
        <v>192</v>
      </c>
      <c r="C30" s="2"/>
      <c r="D30" s="30">
        <f>1/(1+WACC!$C$14)^ReverseDCF!$D$29</f>
        <v>0.97980255571454589</v>
      </c>
      <c r="E30" s="30">
        <f>1/(1+WACC!$C$14)^ReverseDCF!$E$29</f>
        <v>0.92162505268498662</v>
      </c>
      <c r="F30" s="30">
        <f>1/(1+WACC!$C$14)^ReverseDCF!$F$29</f>
        <v>0.8493927377366044</v>
      </c>
      <c r="G30" s="30">
        <f>1/(1+WACC!$C$14)^ReverseDCF!$G$29</f>
        <v>0.78282162666674304</v>
      </c>
      <c r="H30" s="30">
        <f>1/(1+WACC!$C$14)^ReverseDCF!$H$29</f>
        <v>0.72146802291968404</v>
      </c>
      <c r="I30" s="30">
        <f>1/(1+WACC!$C$14)^ReverseDCF!$I$29</f>
        <v>0.66492300463388687</v>
      </c>
      <c r="J30" s="30">
        <f>1/(1+WACC!$C$14)^ReverseDCF!$J$29</f>
        <v>0.61280969917716566</v>
      </c>
      <c r="K30" s="2"/>
    </row>
    <row r="31" spans="1:11" x14ac:dyDescent="0.2">
      <c r="A31" s="3" t="s">
        <v>407</v>
      </c>
      <c r="B31" s="9" t="s">
        <v>56</v>
      </c>
      <c r="C31" s="2"/>
      <c r="D31" s="11">
        <f>ReverseDCF!$D$28*ReverseDCF!$D$30</f>
        <v>-3951.3353053997862</v>
      </c>
      <c r="E31" s="11">
        <f>ReverseDCF!$E$28*ReverseDCF!$E$30</f>
        <v>-1235.0290029191012</v>
      </c>
      <c r="F31" s="11">
        <f>ReverseDCF!$F$28*ReverseDCF!$F$30</f>
        <v>-1255.2200340470829</v>
      </c>
      <c r="G31" s="11">
        <f>ReverseDCF!$G$28*ReverseDCF!$G$30</f>
        <v>-1223.1116475613678</v>
      </c>
      <c r="H31" s="11">
        <f>ReverseDCF!$H$28*ReverseDCF!$H$30</f>
        <v>-829.29326697933004</v>
      </c>
      <c r="I31" s="11">
        <f>ReverseDCF!$I$28*ReverseDCF!$I$30</f>
        <v>-768.92867901325803</v>
      </c>
      <c r="J31" s="11">
        <f>ReverseDCF!$J$28*ReverseDCF!$J$30</f>
        <v>-729.45899173045177</v>
      </c>
      <c r="K31" s="2"/>
    </row>
    <row r="32" spans="1:11" x14ac:dyDescent="0.2">
      <c r="A32" s="3" t="s">
        <v>408</v>
      </c>
      <c r="B32" s="9" t="s">
        <v>91</v>
      </c>
      <c r="C32" s="2"/>
      <c r="D32" s="16">
        <f>(ReverseDCF!$D$18-Assumptions!$C$22)*(1-Assumptions!$C$10)/Assumptions!$C$6</f>
        <v>6.0918697153824004</v>
      </c>
      <c r="E32" s="16">
        <f>(ReverseDCF!$E$18-Assumptions!$D$22)*(1-Assumptions!$C$10)/Assumptions!$C$6</f>
        <v>7.2377792095521327</v>
      </c>
      <c r="F32" s="16">
        <f>(ReverseDCF!$F$18-Assumptions!$E$22)*(1-Assumptions!$C$10)/Assumptions!$C$6</f>
        <v>7.8171681733333864</v>
      </c>
      <c r="G32" s="16">
        <f>(ReverseDCF!$G$18-Assumptions!$F$22)*(1-Assumptions!$C$10)/Assumptions!$C$6</f>
        <v>8.0169887102420976</v>
      </c>
      <c r="H32" s="16">
        <f>(ReverseDCF!$H$18-Assumptions!$G$22)*(1-Assumptions!$C$10)/Assumptions!$C$6</f>
        <v>7.6284712488628061</v>
      </c>
      <c r="I32" s="16">
        <f>(ReverseDCF!$I$18-Assumptions!$H$22)*(1-Assumptions!$C$10)/Assumptions!$C$6</f>
        <v>7.0839450177672738</v>
      </c>
      <c r="J32" s="16">
        <f>(ReverseDCF!$J$18-Assumptions!$I$22)*(1-Assumptions!$C$10)/Assumptions!$C$6</f>
        <v>6.3903436376414371</v>
      </c>
      <c r="K32" s="2"/>
    </row>
    <row r="33" spans="1:11" x14ac:dyDescent="0.2">
      <c r="A33" s="3" t="s">
        <v>409</v>
      </c>
      <c r="B33" s="9" t="s">
        <v>56</v>
      </c>
      <c r="C33" s="2"/>
      <c r="D33" s="2"/>
      <c r="E33" s="2"/>
      <c r="F33" s="2"/>
      <c r="G33" s="2"/>
      <c r="H33" s="2"/>
      <c r="I33" s="2"/>
      <c r="J33" s="11">
        <f>SUM(D31:J31)</f>
        <v>-9992.3769276503772</v>
      </c>
      <c r="K33" s="2"/>
    </row>
    <row r="34" spans="1:11" x14ac:dyDescent="0.2">
      <c r="A34" s="3" t="s">
        <v>410</v>
      </c>
      <c r="B34" s="9" t="s">
        <v>56</v>
      </c>
      <c r="C34" s="2"/>
      <c r="D34" s="2"/>
      <c r="E34" s="2"/>
      <c r="F34" s="2"/>
      <c r="G34" s="2"/>
      <c r="H34" s="2"/>
      <c r="I34" s="2"/>
      <c r="J34" s="11">
        <f>ReverseDCF!$J$24*(1+Assumptions!$C$24)*(1-Assumptions!$C$24/Assumptions!$C$25)/(WACC!$C$14-Assumptions!$C$24)</f>
        <v>38247.44760513075</v>
      </c>
      <c r="K34" s="2"/>
    </row>
    <row r="35" spans="1:11" x14ac:dyDescent="0.2">
      <c r="A35" s="3" t="s">
        <v>411</v>
      </c>
      <c r="B35" s="9" t="s">
        <v>192</v>
      </c>
      <c r="C35" s="2"/>
      <c r="D35" s="2"/>
      <c r="E35" s="2"/>
      <c r="F35" s="2"/>
      <c r="G35" s="2"/>
      <c r="H35" s="2"/>
      <c r="I35" s="2"/>
      <c r="J35" s="14">
        <f>Multiples!$C$52</f>
        <v>6.2149083769633506</v>
      </c>
      <c r="K35" s="9" t="s">
        <v>412</v>
      </c>
    </row>
    <row r="36" spans="1:11" x14ac:dyDescent="0.2">
      <c r="A36" s="3" t="s">
        <v>413</v>
      </c>
      <c r="B36" s="9" t="s">
        <v>56</v>
      </c>
      <c r="C36" s="2"/>
      <c r="D36" s="2"/>
      <c r="E36" s="2"/>
      <c r="F36" s="2"/>
      <c r="G36" s="2"/>
      <c r="H36" s="2"/>
      <c r="I36" s="2"/>
      <c r="J36" s="11">
        <f>ReverseDCF!$J$35*ReverseDCF!$J$21</f>
        <v>55075.971833061383</v>
      </c>
      <c r="K36" s="2"/>
    </row>
    <row r="37" spans="1:11" x14ac:dyDescent="0.2">
      <c r="A37" s="3" t="s">
        <v>414</v>
      </c>
      <c r="B37" s="9" t="s">
        <v>192</v>
      </c>
      <c r="C37" s="2"/>
      <c r="D37" s="2"/>
      <c r="E37" s="2"/>
      <c r="F37" s="2"/>
      <c r="G37" s="2"/>
      <c r="H37" s="2"/>
      <c r="I37" s="2"/>
      <c r="J37" s="30">
        <f>1/(1+WACC!$C$14)^6.5</f>
        <v>0.58830530726425412</v>
      </c>
      <c r="K37" s="2"/>
    </row>
    <row r="38" spans="1:11" x14ac:dyDescent="0.2">
      <c r="A38" s="3" t="s">
        <v>415</v>
      </c>
      <c r="B38" s="9" t="s">
        <v>56</v>
      </c>
      <c r="C38" s="2"/>
      <c r="D38" s="2"/>
      <c r="E38" s="2"/>
      <c r="F38" s="2"/>
      <c r="G38" s="2"/>
      <c r="H38" s="2"/>
      <c r="I38" s="2"/>
      <c r="J38" s="11">
        <f>ReverseDCF!$J$33+ReverseDCF!$J$34*ReverseDCF!$J$37</f>
        <v>12508.79948775953</v>
      </c>
      <c r="K38" s="2"/>
    </row>
    <row r="39" spans="1:11" x14ac:dyDescent="0.2">
      <c r="A39" s="3" t="s">
        <v>416</v>
      </c>
      <c r="B39" s="9" t="s">
        <v>56</v>
      </c>
      <c r="C39" s="2"/>
      <c r="D39" s="2"/>
      <c r="E39" s="2"/>
      <c r="F39" s="2"/>
      <c r="G39" s="2"/>
      <c r="H39" s="2"/>
      <c r="I39" s="2"/>
      <c r="J39" s="11">
        <f>ReverseDCF!$J$33+ReverseDCF!$J$36*ReverseDCF!$J$37</f>
        <v>22409.109604476205</v>
      </c>
      <c r="K39" s="2"/>
    </row>
    <row r="40" spans="1:11" x14ac:dyDescent="0.2">
      <c r="A40" s="3" t="s">
        <v>417</v>
      </c>
      <c r="B40" s="9" t="s">
        <v>150</v>
      </c>
      <c r="C40" s="2"/>
      <c r="D40" s="2"/>
      <c r="E40" s="2"/>
      <c r="F40" s="2"/>
      <c r="G40" s="2"/>
      <c r="H40" s="2"/>
      <c r="I40" s="2"/>
      <c r="J40" s="22">
        <f>ReverseDCF!$J$34*ReverseDCF!$J$37/ReverseDCF!$J$38</f>
        <v>1.7988278121676189</v>
      </c>
      <c r="K40" s="2"/>
    </row>
    <row r="41" spans="1:11" x14ac:dyDescent="0.2">
      <c r="A41" s="3" t="s">
        <v>418</v>
      </c>
      <c r="B41" s="9" t="s">
        <v>91</v>
      </c>
      <c r="C41" s="2"/>
      <c r="D41" s="2"/>
      <c r="E41" s="2"/>
      <c r="F41" s="2"/>
      <c r="G41" s="2"/>
      <c r="H41" s="2"/>
      <c r="I41" s="2"/>
      <c r="J41" s="16">
        <f>(ReverseDCF!$J$38-WACC!$C$15+Assumptions!$C$11)/Assumptions!$C$6</f>
        <v>-11.011024226088395</v>
      </c>
      <c r="K41" s="2"/>
    </row>
    <row r="42" spans="1:11" x14ac:dyDescent="0.2">
      <c r="A42" s="3" t="s">
        <v>419</v>
      </c>
      <c r="B42" s="9" t="s">
        <v>91</v>
      </c>
      <c r="C42" s="2"/>
      <c r="D42" s="2"/>
      <c r="E42" s="2"/>
      <c r="F42" s="2"/>
      <c r="G42" s="2"/>
      <c r="H42" s="2"/>
      <c r="I42" s="2"/>
      <c r="J42" s="16">
        <f>(ReverseDCF!$J$39-WACC!$C$15+Assumptions!$C$11)/Assumptions!$C$6</f>
        <v>19.302233938996341</v>
      </c>
      <c r="K42" s="2"/>
    </row>
    <row r="43" spans="1:11" x14ac:dyDescent="0.2">
      <c r="A43" s="4" t="s">
        <v>420</v>
      </c>
      <c r="B43" s="9" t="s">
        <v>91</v>
      </c>
      <c r="C43" s="2"/>
      <c r="D43" s="2"/>
      <c r="E43" s="2"/>
      <c r="F43" s="2"/>
      <c r="G43" s="2"/>
      <c r="H43" s="2"/>
      <c r="I43" s="2"/>
      <c r="J43" s="31">
        <f>Assumptions!$C$13*ReverseDCF!$J$41+(1-Assumptions!$C$13)*ReverseDCF!$J$42</f>
        <v>4.1456048564539731</v>
      </c>
      <c r="K43" s="2"/>
    </row>
    <row r="44" spans="1:11" x14ac:dyDescent="0.2">
      <c r="A44" s="3" t="s">
        <v>421</v>
      </c>
      <c r="B44" s="9" t="s">
        <v>192</v>
      </c>
      <c r="C44" s="2"/>
      <c r="D44" s="2"/>
      <c r="E44" s="2"/>
      <c r="F44" s="2"/>
      <c r="G44" s="2"/>
      <c r="H44" s="2"/>
      <c r="I44" s="2"/>
      <c r="J44" s="14">
        <f>ReverseDCF!$J$34/ReverseDCF!$J$21</f>
        <v>4.3159362351170198</v>
      </c>
      <c r="K44" s="2"/>
    </row>
    <row r="45" spans="1:1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">
      <c r="A46" s="5" t="s">
        <v>431</v>
      </c>
      <c r="B46" s="5" t="s">
        <v>22</v>
      </c>
      <c r="C46" s="6" t="s">
        <v>388</v>
      </c>
      <c r="D46" s="6" t="s">
        <v>217</v>
      </c>
      <c r="E46" s="6" t="s">
        <v>218</v>
      </c>
      <c r="F46" s="6" t="s">
        <v>219</v>
      </c>
      <c r="G46" s="6" t="s">
        <v>220</v>
      </c>
      <c r="H46" s="6" t="s">
        <v>221</v>
      </c>
      <c r="I46" s="6" t="s">
        <v>222</v>
      </c>
      <c r="J46" s="6" t="s">
        <v>223</v>
      </c>
      <c r="K46" s="6" t="s">
        <v>33</v>
      </c>
    </row>
    <row r="47" spans="1:11" x14ac:dyDescent="0.2">
      <c r="A47" s="3" t="s">
        <v>142</v>
      </c>
      <c r="B47" s="9" t="s">
        <v>36</v>
      </c>
      <c r="C47" s="11">
        <f>Hist!$I$5</f>
        <v>330284</v>
      </c>
      <c r="D47" s="11">
        <f>ReverseDCF!$C$47*(1+Assumptions!$C$35)</f>
        <v>338541.1</v>
      </c>
      <c r="E47" s="11">
        <f>ReverseDCF!$D$47*(1+Assumptions!$D$35)</f>
        <v>352082.74400000001</v>
      </c>
      <c r="F47" s="11">
        <f>ReverseDCF!$E$47*(1+Assumptions!$E$35)</f>
        <v>369686.8812</v>
      </c>
      <c r="G47" s="11">
        <f>ReverseDCF!$F$47*(1+Assumptions!$F$35)</f>
        <v>388171.22526000004</v>
      </c>
      <c r="H47" s="11">
        <f>ReverseDCF!$G$47*(1+Assumptions!$G$35)</f>
        <v>405638.93039669999</v>
      </c>
      <c r="I47" s="11">
        <f>ReverseDCF!$H$47*(1+Assumptions!$H$35)</f>
        <v>421864.48761256802</v>
      </c>
      <c r="J47" s="11">
        <f>ReverseDCF!$I$47*(1+Assumptions!$I$35)</f>
        <v>436629.74467900785</v>
      </c>
      <c r="K47" s="2"/>
    </row>
    <row r="48" spans="1:11" x14ac:dyDescent="0.2">
      <c r="A48" s="3" t="s">
        <v>389</v>
      </c>
      <c r="B48" s="9" t="s">
        <v>167</v>
      </c>
      <c r="C48" s="16">
        <f>Metrics!$I$13</f>
        <v>14.118152862385099</v>
      </c>
      <c r="D48" s="16">
        <f>ReverseDCF!$C$48*(1+Assumptions!$C$15)</f>
        <v>13.976971333761247</v>
      </c>
      <c r="E48" s="16">
        <f>ReverseDCF!$D$48*(1+Assumptions!$D$15)</f>
        <v>13.837201620423635</v>
      </c>
      <c r="F48" s="16">
        <f>ReverseDCF!$E$48*(1+Assumptions!$E$15)</f>
        <v>13.698829604219398</v>
      </c>
      <c r="G48" s="16">
        <f>ReverseDCF!$F$48*(1+Assumptions!$F$15)</f>
        <v>13.561841308177204</v>
      </c>
      <c r="H48" s="16">
        <f>ReverseDCF!$G$48*(1+Assumptions!$G$15)</f>
        <v>13.426222895095432</v>
      </c>
      <c r="I48" s="16">
        <f>ReverseDCF!$H$48*(1+Assumptions!$H$15)</f>
        <v>13.291960666144478</v>
      </c>
      <c r="J48" s="16">
        <f>ReverseDCF!$I$48*(1+Assumptions!$I$15)</f>
        <v>13.159041059483032</v>
      </c>
      <c r="K48" s="2"/>
    </row>
    <row r="49" spans="1:11" x14ac:dyDescent="0.2">
      <c r="A49" s="3" t="s">
        <v>147</v>
      </c>
      <c r="B49" s="9" t="s">
        <v>148</v>
      </c>
      <c r="C49" s="16">
        <f>Hist!$I$9</f>
        <v>2.44</v>
      </c>
      <c r="D49" s="16">
        <f>Assumptions!$C$39</f>
        <v>3.97</v>
      </c>
      <c r="E49" s="16">
        <f>Assumptions!$D$39</f>
        <v>3.3</v>
      </c>
      <c r="F49" s="16">
        <f>Assumptions!$E$39</f>
        <v>3</v>
      </c>
      <c r="G49" s="16">
        <f>Assumptions!$F$39</f>
        <v>2.9</v>
      </c>
      <c r="H49" s="16">
        <f>Assumptions!$G$39</f>
        <v>2.9</v>
      </c>
      <c r="I49" s="16">
        <f>Assumptions!$H$39</f>
        <v>2.95</v>
      </c>
      <c r="J49" s="16">
        <f>Assumptions!$I$39</f>
        <v>3</v>
      </c>
      <c r="K49" s="2"/>
    </row>
    <row r="50" spans="1:11" x14ac:dyDescent="0.2">
      <c r="A50" s="3" t="s">
        <v>164</v>
      </c>
      <c r="B50" s="9" t="s">
        <v>42</v>
      </c>
      <c r="C50" s="16">
        <f>ReverseDCF!$C$48*ReverseDCF!$C$49/10</f>
        <v>3.4448292984219639</v>
      </c>
      <c r="D50" s="16">
        <f>ReverseDCF!$D$48*ReverseDCF!$D$49/10</f>
        <v>5.5488576195032149</v>
      </c>
      <c r="E50" s="16">
        <f>ReverseDCF!$E$48*ReverseDCF!$E$49/10</f>
        <v>4.5662765347397993</v>
      </c>
      <c r="F50" s="16">
        <f>ReverseDCF!$F$48*ReverseDCF!$F$49/10</f>
        <v>4.1096488812658194</v>
      </c>
      <c r="G50" s="16">
        <f>ReverseDCF!$G$48*ReverseDCF!$G$49/10</f>
        <v>3.9329339793713891</v>
      </c>
      <c r="H50" s="16">
        <f>ReverseDCF!$H$48*ReverseDCF!$H$49/10</f>
        <v>3.8936046395776751</v>
      </c>
      <c r="I50" s="16">
        <f>ReverseDCF!$I$48*ReverseDCF!$I$49/10</f>
        <v>3.9211283965126214</v>
      </c>
      <c r="J50" s="16">
        <f>ReverseDCF!$J$48*ReverseDCF!$J$49/10</f>
        <v>3.9477123178449096</v>
      </c>
      <c r="K50" s="2"/>
    </row>
    <row r="51" spans="1:11" x14ac:dyDescent="0.2">
      <c r="A51" s="3" t="s">
        <v>390</v>
      </c>
      <c r="B51" s="9" t="s">
        <v>42</v>
      </c>
      <c r="C51" s="16">
        <f>Metrics!$I$8</f>
        <v>17.884608397621442</v>
      </c>
      <c r="D51" s="16">
        <f>ReverseDCF!$C$51*(1+Assumptions!$C$36)+Assumptions!$C$37*(ReverseDCF!$D$50-ReverseDCF!$C$50)</f>
        <v>20.014946264426978</v>
      </c>
      <c r="E51" s="16">
        <f>ReverseDCF!$D$51*(1+Assumptions!$D$36+ReverseDCF!$E$4)+Assumptions!$D$37*(ReverseDCF!$E$50-ReverseDCF!$D$50)</f>
        <v>19.578234644820824</v>
      </c>
      <c r="F51" s="16">
        <f>ReverseDCF!$E$51*(1+Assumptions!$E$36+ReverseDCF!$E$4)+Assumptions!$E$37*(ReverseDCF!$F$50-ReverseDCF!$E$50)</f>
        <v>19.513171684243261</v>
      </c>
      <c r="G51" s="16">
        <f>ReverseDCF!$F$51*(1+Assumptions!$F$36+ReverseDCF!$E$4)+Assumptions!$F$37*(ReverseDCF!$G$50-ReverseDCF!$F$50)</f>
        <v>19.726720216033694</v>
      </c>
      <c r="H51" s="16">
        <f>ReverseDCF!$G$51*(1+Assumptions!$G$36+ReverseDCF!$E$4)+Assumptions!$G$37*(ReverseDCF!$H$50-ReverseDCF!$G$50)</f>
        <v>20.081925280560654</v>
      </c>
      <c r="I51" s="16">
        <f>ReverseDCF!$H$51*(1+Assumptions!$H$36+ReverseDCF!$E$4)+Assumptions!$H$37*(ReverseDCF!$I$50-ReverseDCF!$H$50)</f>
        <v>20.511087543106814</v>
      </c>
      <c r="J51" s="16">
        <f>ReverseDCF!$I$51*(1+Assumptions!$I$36+ReverseDCF!$E$4)+Assumptions!$I$37*(ReverseDCF!$J$50-ReverseDCF!$I$50)</f>
        <v>20.947893215301239</v>
      </c>
      <c r="K51" s="2"/>
    </row>
    <row r="52" spans="1:11" x14ac:dyDescent="0.2">
      <c r="A52" s="4" t="s">
        <v>144</v>
      </c>
      <c r="B52" s="9" t="s">
        <v>56</v>
      </c>
      <c r="C52" s="15">
        <f>Hist!$I$19</f>
        <v>59070</v>
      </c>
      <c r="D52" s="15">
        <f>ReverseDCF!$D$47*ReverseDCF!$D$51/100</f>
        <v>67758.819247999985</v>
      </c>
      <c r="E52" s="15">
        <f>ReverseDCF!$E$47*ReverseDCF!$E$51/100</f>
        <v>68931.58576424382</v>
      </c>
      <c r="F52" s="15">
        <f>ReverseDCF!$F$47*ReverseDCF!$F$51/100</f>
        <v>72137.63582268043</v>
      </c>
      <c r="G52" s="15">
        <f>ReverseDCF!$G$47*ReverseDCF!$G$51/100</f>
        <v>76573.45156619011</v>
      </c>
      <c r="H52" s="15">
        <f>ReverseDCF!$H$47*ReverseDCF!$H$51/100</f>
        <v>81460.10691113073</v>
      </c>
      <c r="I52" s="15">
        <f>ReverseDCF!$I$47*ReverseDCF!$I$51/100</f>
        <v>86528.994367492836</v>
      </c>
      <c r="J52" s="15">
        <f>ReverseDCF!$J$47*ReverseDCF!$J$51/100</f>
        <v>91464.73266160101</v>
      </c>
      <c r="K52" s="2"/>
    </row>
    <row r="53" spans="1:11" x14ac:dyDescent="0.2">
      <c r="A53" s="3" t="s">
        <v>146</v>
      </c>
      <c r="B53" s="9" t="s">
        <v>42</v>
      </c>
      <c r="C53" s="16">
        <f>Metrics!$I$10</f>
        <v>12.64</v>
      </c>
      <c r="D53" s="16">
        <f>ReverseDCF!$C$53*(1+Assumptions!$C$38)</f>
        <v>13.3352</v>
      </c>
      <c r="E53" s="16">
        <f>ReverseDCF!$D$53*(1+Assumptions!$D$38)</f>
        <v>13.668579999999999</v>
      </c>
      <c r="F53" s="16">
        <f>ReverseDCF!$E$53*(1+Assumptions!$E$38)</f>
        <v>13.941951599999999</v>
      </c>
      <c r="G53" s="16">
        <f>ReverseDCF!$F$53*(1+Assumptions!$F$38)</f>
        <v>14.262616486799999</v>
      </c>
      <c r="H53" s="16">
        <f>ReverseDCF!$G$53*(1+Assumptions!$G$38)</f>
        <v>14.647707131943598</v>
      </c>
      <c r="I53" s="16">
        <f>ReverseDCF!$H$53*(1+Assumptions!$H$38)</f>
        <v>15.043195224506073</v>
      </c>
      <c r="J53" s="16">
        <f>ReverseDCF!$I$53*(1+Assumptions!$I$38)</f>
        <v>15.449361495567736</v>
      </c>
      <c r="K53" s="2"/>
    </row>
    <row r="54" spans="1:11" x14ac:dyDescent="0.2">
      <c r="A54" s="3" t="s">
        <v>391</v>
      </c>
      <c r="B54" s="9" t="s">
        <v>56</v>
      </c>
      <c r="C54" s="2"/>
      <c r="D54" s="11">
        <f>ReverseDCF!$D$47*ReverseDCF!$D$53/100</f>
        <v>45145.132767199997</v>
      </c>
      <c r="E54" s="11">
        <f>ReverseDCF!$E$47*ReverseDCF!$E$53/100</f>
        <v>48124.711529835193</v>
      </c>
      <c r="F54" s="11">
        <f>ReverseDCF!$F$47*ReverseDCF!$F$53/100</f>
        <v>51541.566048453496</v>
      </c>
      <c r="G54" s="11">
        <f>ReverseDCF!$G$47*ReverseDCF!$G$53/100</f>
        <v>55363.373170946325</v>
      </c>
      <c r="H54" s="11">
        <f>ReverseDCF!$H$47*ReverseDCF!$H$53/100</f>
        <v>59416.802537657153</v>
      </c>
      <c r="I54" s="11">
        <f>ReverseDCF!$I$47*ReverseDCF!$I$53/100</f>
        <v>63461.898454420843</v>
      </c>
      <c r="J54" s="11">
        <f>ReverseDCF!$J$47*ReverseDCF!$J$53/100</f>
        <v>67456.507652634347</v>
      </c>
      <c r="K54" s="2"/>
    </row>
    <row r="55" spans="1:11" x14ac:dyDescent="0.2">
      <c r="A55" s="3" t="s">
        <v>392</v>
      </c>
      <c r="B55" s="9" t="s">
        <v>56</v>
      </c>
      <c r="C55" s="2"/>
      <c r="D55" s="11">
        <f>ReverseDCF!$D$47*ReverseDCF!$D$50/100</f>
        <v>18785.163622499997</v>
      </c>
      <c r="E55" s="11">
        <f>ReverseDCF!$E$47*ReverseDCF!$E$50/100</f>
        <v>16077.071722139997</v>
      </c>
      <c r="F55" s="11">
        <f>ReverseDCF!$F$47*ReverseDCF!$F$50/100</f>
        <v>15192.832777422298</v>
      </c>
      <c r="G55" s="11">
        <f>ReverseDCF!$G$47*ReverseDCF!$G$50/100</f>
        <v>15266.518016392798</v>
      </c>
      <c r="H55" s="11">
        <f>ReverseDCF!$H$47*ReverseDCF!$H$50/100</f>
        <v>15793.976213859167</v>
      </c>
      <c r="I55" s="11">
        <f>ReverseDCF!$I$47*ReverseDCF!$I$50/100</f>
        <v>16541.848218578874</v>
      </c>
      <c r="J55" s="11">
        <f>ReverseDCF!$J$47*ReverseDCF!$J$50/100</f>
        <v>17236.88621406797</v>
      </c>
      <c r="K55" s="2"/>
    </row>
    <row r="56" spans="1:11" x14ac:dyDescent="0.2">
      <c r="A56" s="3" t="s">
        <v>393</v>
      </c>
      <c r="B56" s="9" t="s">
        <v>56</v>
      </c>
      <c r="C56" s="2"/>
      <c r="D56" s="11">
        <f>ReverseDCF!$D$52*Assumptions!$C$16</f>
        <v>304.91468661599993</v>
      </c>
      <c r="E56" s="11">
        <f>ReverseDCF!$E$52*Assumptions!$D$16</f>
        <v>310.19213593909717</v>
      </c>
      <c r="F56" s="11">
        <f>ReverseDCF!$F$52*Assumptions!$E$16</f>
        <v>324.6193612020619</v>
      </c>
      <c r="G56" s="11">
        <f>ReverseDCF!$G$52*Assumptions!$F$16</f>
        <v>344.58053204785546</v>
      </c>
      <c r="H56" s="11">
        <f>ReverseDCF!$H$52*Assumptions!$G$16</f>
        <v>366.57048110008827</v>
      </c>
      <c r="I56" s="11">
        <f>ReverseDCF!$I$52*Assumptions!$H$16</f>
        <v>389.38047465371773</v>
      </c>
      <c r="J56" s="11">
        <f>ReverseDCF!$J$52*Assumptions!$I$16</f>
        <v>411.59129697720454</v>
      </c>
      <c r="K56" s="2"/>
    </row>
    <row r="57" spans="1:11" x14ac:dyDescent="0.2">
      <c r="A57" s="3" t="s">
        <v>394</v>
      </c>
      <c r="B57" s="9" t="s">
        <v>56</v>
      </c>
      <c r="C57" s="2"/>
      <c r="D57" s="11">
        <f>ReverseDCF!$D$52-ReverseDCF!$D$54-ReverseDCF!$D$55-ReverseDCF!$D$56</f>
        <v>3523.6081716839917</v>
      </c>
      <c r="E57" s="11">
        <f>ReverseDCF!$E$52-ReverseDCF!$E$54-ReverseDCF!$E$55-ReverseDCF!$E$56</f>
        <v>4419.6103763295332</v>
      </c>
      <c r="F57" s="11">
        <f>ReverseDCF!$F$52-ReverseDCF!$F$54-ReverseDCF!$F$55-ReverseDCF!$F$56</f>
        <v>5078.6176356025735</v>
      </c>
      <c r="G57" s="11">
        <f>ReverseDCF!$G$52-ReverseDCF!$G$54-ReverseDCF!$G$55-ReverseDCF!$G$56</f>
        <v>5598.9798468031313</v>
      </c>
      <c r="H57" s="11">
        <f>ReverseDCF!$H$52-ReverseDCF!$H$54-ReverseDCF!$H$55-ReverseDCF!$H$56</f>
        <v>5882.757678514321</v>
      </c>
      <c r="I57" s="11">
        <f>ReverseDCF!$I$52-ReverseDCF!$I$54-ReverseDCF!$I$55-ReverseDCF!$I$56</f>
        <v>6135.8672198394006</v>
      </c>
      <c r="J57" s="11">
        <f>ReverseDCF!$J$52-ReverseDCF!$J$54-ReverseDCF!$J$55-ReverseDCF!$J$56</f>
        <v>6359.7474979214885</v>
      </c>
      <c r="K57" s="2"/>
    </row>
    <row r="58" spans="1:11" x14ac:dyDescent="0.2">
      <c r="A58" s="3" t="s">
        <v>250</v>
      </c>
      <c r="B58" s="9" t="s">
        <v>56</v>
      </c>
      <c r="C58" s="2"/>
      <c r="D58" s="11">
        <f>MAX(0,ReverseDCF!$D$57)*Assumptions!$C$17</f>
        <v>422.83298060207898</v>
      </c>
      <c r="E58" s="11">
        <f>MAX(0,ReverseDCF!$E$57)*Assumptions!$D$17</f>
        <v>530.35324515954392</v>
      </c>
      <c r="F58" s="11">
        <f>MAX(0,ReverseDCF!$F$57)*Assumptions!$E$17</f>
        <v>609.43411627230876</v>
      </c>
      <c r="G58" s="11">
        <f>MAX(0,ReverseDCF!$G$57)*Assumptions!$F$17</f>
        <v>671.87758161637578</v>
      </c>
      <c r="H58" s="11">
        <f>MAX(0,ReverseDCF!$H$57)*Assumptions!$G$17</f>
        <v>705.93092142171849</v>
      </c>
      <c r="I58" s="11">
        <f>MAX(0,ReverseDCF!$I$57)*Assumptions!$H$17</f>
        <v>736.30406638072805</v>
      </c>
      <c r="J58" s="11">
        <f>MAX(0,ReverseDCF!$J$57)*Assumptions!$I$17</f>
        <v>763.16969975057862</v>
      </c>
      <c r="K58" s="2"/>
    </row>
    <row r="59" spans="1:11" x14ac:dyDescent="0.2">
      <c r="A59" s="4" t="s">
        <v>395</v>
      </c>
      <c r="B59" s="9" t="s">
        <v>56</v>
      </c>
      <c r="C59" s="15">
        <f>Hist!$I$31</f>
        <v>4972</v>
      </c>
      <c r="D59" s="15">
        <f>ReverseDCF!$D$57-ReverseDCF!$D$58</f>
        <v>3100.7751910819129</v>
      </c>
      <c r="E59" s="15">
        <f>ReverseDCF!$E$57-ReverseDCF!$E$58</f>
        <v>3889.2571311699894</v>
      </c>
      <c r="F59" s="15">
        <f>ReverseDCF!$F$57-ReverseDCF!$F$58</f>
        <v>4469.183519330265</v>
      </c>
      <c r="G59" s="15">
        <f>ReverseDCF!$G$57-ReverseDCF!$G$58</f>
        <v>4927.1022651867552</v>
      </c>
      <c r="H59" s="15">
        <f>ReverseDCF!$H$57-ReverseDCF!$H$58</f>
        <v>5176.8267570926027</v>
      </c>
      <c r="I59" s="15">
        <f>ReverseDCF!$I$57-ReverseDCF!$I$58</f>
        <v>5399.5631534586728</v>
      </c>
      <c r="J59" s="15">
        <f>ReverseDCF!$J$57-ReverseDCF!$J$58</f>
        <v>5596.5777981709098</v>
      </c>
      <c r="K59" s="2"/>
    </row>
    <row r="60" spans="1:11" x14ac:dyDescent="0.2">
      <c r="A60" s="3" t="s">
        <v>149</v>
      </c>
      <c r="B60" s="9" t="s">
        <v>150</v>
      </c>
      <c r="C60" s="19">
        <f>ReverseDCF!$C$59/ReverseDCF!$C$52</f>
        <v>8.417132216014897E-2</v>
      </c>
      <c r="D60" s="19">
        <f>ReverseDCF!$D$59/ReverseDCF!$D$52</f>
        <v>4.5761942511615382E-2</v>
      </c>
      <c r="E60" s="19">
        <f>ReverseDCF!$E$59/ReverseDCF!$E$52</f>
        <v>5.6421988382391521E-2</v>
      </c>
      <c r="F60" s="19">
        <f>ReverseDCF!$F$59/ReverseDCF!$F$52</f>
        <v>6.1953562358431649E-2</v>
      </c>
      <c r="G60" s="19">
        <f>ReverseDCF!$G$59/ReverseDCF!$G$52</f>
        <v>6.4344784836135621E-2</v>
      </c>
      <c r="H60" s="19">
        <f>ReverseDCF!$H$59/ReverseDCF!$H$52</f>
        <v>6.3550453754502009E-2</v>
      </c>
      <c r="I60" s="19">
        <f>ReverseDCF!$I$59/ReverseDCF!$I$52</f>
        <v>6.2401778651517276E-2</v>
      </c>
      <c r="J60" s="19">
        <f>ReverseDCF!$J$59/ReverseDCF!$J$52</f>
        <v>6.1188368842414832E-2</v>
      </c>
      <c r="K60" s="2"/>
    </row>
    <row r="61" spans="1:11" x14ac:dyDescent="0.2">
      <c r="A61" s="3" t="s">
        <v>253</v>
      </c>
      <c r="B61" s="9" t="s">
        <v>56</v>
      </c>
      <c r="C61" s="11">
        <f>Hist!$I$26</f>
        <v>2939</v>
      </c>
      <c r="D61" s="11">
        <f>ReverseDCF!$D$52*Assumptions!$C$18</f>
        <v>3252.4233239039995</v>
      </c>
      <c r="E61" s="11">
        <f>ReverseDCF!$E$52*Assumptions!$D$18</f>
        <v>3308.7161166837036</v>
      </c>
      <c r="F61" s="11">
        <f>ReverseDCF!$F$52*Assumptions!$E$18</f>
        <v>3462.6065194886605</v>
      </c>
      <c r="G61" s="11">
        <f>ReverseDCF!$G$52*Assumptions!$F$18</f>
        <v>3675.5256751771253</v>
      </c>
      <c r="H61" s="11">
        <f>ReverseDCF!$H$52*Assumptions!$G$18</f>
        <v>3910.0851317342749</v>
      </c>
      <c r="I61" s="11">
        <f>ReverseDCF!$I$52*Assumptions!$H$18</f>
        <v>4153.3917296396567</v>
      </c>
      <c r="J61" s="11">
        <f>ReverseDCF!$J$52*Assumptions!$I$18</f>
        <v>4390.3071677568487</v>
      </c>
      <c r="K61" s="2"/>
    </row>
    <row r="62" spans="1:11" x14ac:dyDescent="0.2">
      <c r="A62" s="3" t="s">
        <v>396</v>
      </c>
      <c r="B62" s="9" t="s">
        <v>56</v>
      </c>
      <c r="C62" s="11">
        <f>Metrics!$I$31</f>
        <v>8970</v>
      </c>
      <c r="D62" s="11">
        <f>ReverseDCF!$D$59+ReverseDCF!$D$61+ReverseDCF!$D$52*Assumptions!$C$19</f>
        <v>7403.4602133299122</v>
      </c>
      <c r="E62" s="11">
        <f>ReverseDCF!$E$59+ReverseDCF!$E$61+ReverseDCF!$E$52*Assumptions!$D$19</f>
        <v>8266.4128271994723</v>
      </c>
      <c r="F62" s="11">
        <f>ReverseDCF!$F$59+ReverseDCF!$F$61+ReverseDCF!$F$52*Assumptions!$E$19</f>
        <v>9049.9233940704726</v>
      </c>
      <c r="G62" s="11">
        <f>ReverseDCF!$G$59+ReverseDCF!$G$61+ReverseDCF!$G$52*Assumptions!$F$19</f>
        <v>9789.5164396398268</v>
      </c>
      <c r="H62" s="11">
        <f>ReverseDCF!$H$59+ReverseDCF!$H$61+ReverseDCF!$H$52*Assumptions!$G$19</f>
        <v>10349.543545949406</v>
      </c>
      <c r="I62" s="11">
        <f>ReverseDCF!$I$59+ReverseDCF!$I$61+ReverseDCF!$I$52*Assumptions!$H$19</f>
        <v>10894.154295794469</v>
      </c>
      <c r="J62" s="11">
        <f>ReverseDCF!$J$59+ReverseDCF!$J$61+ReverseDCF!$J$52*Assumptions!$I$19</f>
        <v>11404.588322182573</v>
      </c>
      <c r="K62" s="2"/>
    </row>
    <row r="63" spans="1:11" x14ac:dyDescent="0.2">
      <c r="A63" s="3" t="s">
        <v>397</v>
      </c>
      <c r="B63" s="9" t="s">
        <v>56</v>
      </c>
      <c r="C63" s="2"/>
      <c r="D63" s="11">
        <f>Hist!$K$51</f>
        <v>7204</v>
      </c>
      <c r="E63" s="11">
        <f>ReverseDCF!$D$63*(1+Assumptions!$D$35)</f>
        <v>7492.16</v>
      </c>
      <c r="F63" s="11">
        <f>ReverseDCF!$E$63*(1+Assumptions!$E$35)</f>
        <v>7866.768</v>
      </c>
      <c r="G63" s="11">
        <f>ReverseDCF!$F$63*(1+Assumptions!$F$35)</f>
        <v>8260.1064000000006</v>
      </c>
      <c r="H63" s="11">
        <f>ReverseDCF!$G$63*(1+Assumptions!$G$35)</f>
        <v>8631.8111879999997</v>
      </c>
      <c r="I63" s="11">
        <f>ReverseDCF!$H$63*(1+Assumptions!$H$35)</f>
        <v>8977.0836355200008</v>
      </c>
      <c r="J63" s="11">
        <f>ReverseDCF!$I$63*(1+Assumptions!$I$35)</f>
        <v>9291.2815627632008</v>
      </c>
      <c r="K63" s="2"/>
    </row>
    <row r="64" spans="1:11" x14ac:dyDescent="0.2">
      <c r="A64" s="3" t="s">
        <v>398</v>
      </c>
      <c r="B64" s="9" t="s">
        <v>56</v>
      </c>
      <c r="C64" s="2"/>
      <c r="D64" s="11">
        <f>ReverseDCF!$D$63*Assumptions!$C$20</f>
        <v>468.26</v>
      </c>
      <c r="E64" s="11">
        <f>ReverseDCF!$E$63*Assumptions!$C$20</f>
        <v>486.99040000000002</v>
      </c>
      <c r="F64" s="11">
        <f>ReverseDCF!$F$63*Assumptions!$C$20</f>
        <v>511.33992000000001</v>
      </c>
      <c r="G64" s="11">
        <f>ReverseDCF!$G$63*Assumptions!$C$20</f>
        <v>536.90691600000002</v>
      </c>
      <c r="H64" s="11">
        <f>ReverseDCF!$H$63*Assumptions!$C$20</f>
        <v>561.06772722000005</v>
      </c>
      <c r="I64" s="11">
        <f>ReverseDCF!$I$63*Assumptions!$C$20</f>
        <v>583.51043630880008</v>
      </c>
      <c r="J64" s="11">
        <f>ReverseDCF!$J$63*Assumptions!$C$20</f>
        <v>603.93330157960804</v>
      </c>
      <c r="K64" s="2"/>
    </row>
    <row r="65" spans="1:11" x14ac:dyDescent="0.2">
      <c r="A65" s="3" t="s">
        <v>399</v>
      </c>
      <c r="B65" s="9" t="s">
        <v>56</v>
      </c>
      <c r="C65" s="2"/>
      <c r="D65" s="11">
        <f>(ReverseDCF!$D$59+ReverseDCF!$D$64)*(1-Assumptions!$C$10)</f>
        <v>2783.8474490438921</v>
      </c>
      <c r="E65" s="11">
        <f>(ReverseDCF!$E$59+ReverseDCF!$E$64)*(1-Assumptions!$C$10)</f>
        <v>3413.4730743125915</v>
      </c>
      <c r="F65" s="11">
        <f>(ReverseDCF!$F$59+ReverseDCF!$F$64)*(1-Assumptions!$C$10)</f>
        <v>3884.8082826776072</v>
      </c>
      <c r="G65" s="11">
        <f>(ReverseDCF!$G$59+ReverseDCF!$G$64)*(1-Assumptions!$C$10)</f>
        <v>4261.9271613256687</v>
      </c>
      <c r="H65" s="11">
        <f>(ReverseDCF!$H$59+ReverseDCF!$H$64)*(1-Assumptions!$C$10)</f>
        <v>4475.5576977638302</v>
      </c>
      <c r="I65" s="11">
        <f>(ReverseDCF!$I$59+ReverseDCF!$I$64)*(1-Assumptions!$C$10)</f>
        <v>4666.7974000186296</v>
      </c>
      <c r="J65" s="11">
        <f>(ReverseDCF!$J$59+ReverseDCF!$J$64)*(1-Assumptions!$C$10)</f>
        <v>4836.3986578054046</v>
      </c>
      <c r="K65" s="2"/>
    </row>
    <row r="66" spans="1:11" x14ac:dyDescent="0.2">
      <c r="A66" s="3" t="s">
        <v>278</v>
      </c>
      <c r="B66" s="9" t="s">
        <v>56</v>
      </c>
      <c r="C66" s="2"/>
      <c r="D66" s="11">
        <f>Assumptions!$C$23</f>
        <v>7500</v>
      </c>
      <c r="E66" s="11">
        <f>ReverseDCF!$E$52*Assumptions!$D$40</f>
        <v>7927.13236288804</v>
      </c>
      <c r="F66" s="11">
        <f>ReverseDCF!$F$52*Assumptions!$E$40</f>
        <v>8656.5162987216518</v>
      </c>
      <c r="G66" s="11">
        <f>ReverseDCF!$G$52*Assumptions!$F$40</f>
        <v>9188.8141879428131</v>
      </c>
      <c r="H66" s="11">
        <f>ReverseDCF!$H$52*Assumptions!$G$40</f>
        <v>8960.6117602243812</v>
      </c>
      <c r="I66" s="11">
        <f>ReverseDCF!$I$52*Assumptions!$H$40</f>
        <v>9085.5444085867475</v>
      </c>
      <c r="J66" s="11">
        <f>ReverseDCF!$J$52*Assumptions!$I$40</f>
        <v>9146.473266160101</v>
      </c>
      <c r="K66" s="2"/>
    </row>
    <row r="67" spans="1:11" x14ac:dyDescent="0.2">
      <c r="A67" s="3" t="s">
        <v>400</v>
      </c>
      <c r="B67" s="9" t="s">
        <v>56</v>
      </c>
      <c r="C67" s="2"/>
      <c r="D67" s="11">
        <f>(ReverseDCF!$D$52-ReverseDCF!$C$52)*Assumptions!$C$21</f>
        <v>868.88192479999861</v>
      </c>
      <c r="E67" s="11">
        <f>(ReverseDCF!$E$52-ReverseDCF!$D$52)*Assumptions!$D$21</f>
        <v>117.27665162438353</v>
      </c>
      <c r="F67" s="11">
        <f>(ReverseDCF!$F$52-ReverseDCF!$E$52)*Assumptions!$E$21</f>
        <v>320.60500584366093</v>
      </c>
      <c r="G67" s="11">
        <f>(ReverseDCF!$G$52-ReverseDCF!$F$52)*Assumptions!$F$21</f>
        <v>443.58157435096803</v>
      </c>
      <c r="H67" s="11">
        <f>(ReverseDCF!$H$52-ReverseDCF!$G$52)*Assumptions!$G$21</f>
        <v>488.66553449406206</v>
      </c>
      <c r="I67" s="11">
        <f>(ReverseDCF!$I$52-ReverseDCF!$H$52)*Assumptions!$H$21</f>
        <v>506.88874563621067</v>
      </c>
      <c r="J67" s="11">
        <f>(ReverseDCF!$J$52-ReverseDCF!$I$52)*Assumptions!$I$21</f>
        <v>493.57382941081744</v>
      </c>
      <c r="K67" s="2"/>
    </row>
    <row r="68" spans="1:11" x14ac:dyDescent="0.2">
      <c r="A68" s="4" t="s">
        <v>401</v>
      </c>
      <c r="B68" s="9" t="s">
        <v>56</v>
      </c>
      <c r="C68" s="2"/>
      <c r="D68" s="15">
        <f>ReverseDCF!$D$65+ReverseDCF!$D$61-ReverseDCF!$D$66+ReverseDCF!$D$67</f>
        <v>-594.84730225210978</v>
      </c>
      <c r="E68" s="15">
        <f>ReverseDCF!$E$65+ReverseDCF!$E$61-ReverseDCF!$E$66+ReverseDCF!$E$67</f>
        <v>-1087.6665202673614</v>
      </c>
      <c r="F68" s="15">
        <f>ReverseDCF!$F$65+ReverseDCF!$F$61-ReverseDCF!$F$66+ReverseDCF!$F$67</f>
        <v>-988.49649071172314</v>
      </c>
      <c r="G68" s="15">
        <f>ReverseDCF!$G$65+ReverseDCF!$G$61-ReverseDCF!$G$66+ReverseDCF!$G$67</f>
        <v>-807.77977708905053</v>
      </c>
      <c r="H68" s="15">
        <f>ReverseDCF!$H$65+ReverseDCF!$H$61-ReverseDCF!$H$66+ReverseDCF!$H$67</f>
        <v>-86.303396232214027</v>
      </c>
      <c r="I68" s="15">
        <f>ReverseDCF!$I$65+ReverseDCF!$I$61-ReverseDCF!$I$66+ReverseDCF!$I$67</f>
        <v>241.53346670775028</v>
      </c>
      <c r="J68" s="15">
        <f>ReverseDCF!$J$65+ReverseDCF!$J$61-ReverseDCF!$J$66+ReverseDCF!$J$67</f>
        <v>573.80638881297057</v>
      </c>
      <c r="K68" s="2"/>
    </row>
    <row r="69" spans="1:11" x14ac:dyDescent="0.2">
      <c r="A69" s="3" t="s">
        <v>402</v>
      </c>
      <c r="B69" s="9" t="s">
        <v>56</v>
      </c>
      <c r="C69" s="2"/>
      <c r="D69" s="11">
        <f>ReverseDCF!$D$68-Assumptions!$C$12</f>
        <v>-4032.7873022521098</v>
      </c>
      <c r="E69" s="11">
        <f>ReverseDCF!$E$68</f>
        <v>-1087.6665202673614</v>
      </c>
      <c r="F69" s="11">
        <f>ReverseDCF!$F$68</f>
        <v>-988.49649071172314</v>
      </c>
      <c r="G69" s="11">
        <f>ReverseDCF!$G$68</f>
        <v>-807.77977708905053</v>
      </c>
      <c r="H69" s="11">
        <f>ReverseDCF!$H$68</f>
        <v>-86.303396232214027</v>
      </c>
      <c r="I69" s="11">
        <f>ReverseDCF!$I$68</f>
        <v>241.53346670775028</v>
      </c>
      <c r="J69" s="11">
        <f>ReverseDCF!$J$68</f>
        <v>573.80638881297057</v>
      </c>
      <c r="K69" s="2"/>
    </row>
    <row r="70" spans="1:11" x14ac:dyDescent="0.2">
      <c r="A70" s="3" t="s">
        <v>403</v>
      </c>
      <c r="B70" s="9" t="s">
        <v>404</v>
      </c>
      <c r="C70" s="2"/>
      <c r="D70" s="12">
        <v>0.25</v>
      </c>
      <c r="E70" s="12">
        <v>1</v>
      </c>
      <c r="F70" s="12">
        <v>2</v>
      </c>
      <c r="G70" s="12">
        <v>3</v>
      </c>
      <c r="H70" s="12">
        <v>4</v>
      </c>
      <c r="I70" s="12">
        <v>5</v>
      </c>
      <c r="J70" s="12">
        <v>6</v>
      </c>
      <c r="K70" s="9" t="s">
        <v>405</v>
      </c>
    </row>
    <row r="71" spans="1:11" x14ac:dyDescent="0.2">
      <c r="A71" s="3" t="s">
        <v>406</v>
      </c>
      <c r="B71" s="9" t="s">
        <v>192</v>
      </c>
      <c r="C71" s="2"/>
      <c r="D71" s="30">
        <f>1/(1+WACC!$C$14)^ReverseDCF!$D$70</f>
        <v>0.97980255571454589</v>
      </c>
      <c r="E71" s="30">
        <f>1/(1+WACC!$C$14)^ReverseDCF!$E$70</f>
        <v>0.92162505268498662</v>
      </c>
      <c r="F71" s="30">
        <f>1/(1+WACC!$C$14)^ReverseDCF!$F$70</f>
        <v>0.8493927377366044</v>
      </c>
      <c r="G71" s="30">
        <f>1/(1+WACC!$C$14)^ReverseDCF!$G$70</f>
        <v>0.78282162666674304</v>
      </c>
      <c r="H71" s="30">
        <f>1/(1+WACC!$C$14)^ReverseDCF!$H$70</f>
        <v>0.72146802291968404</v>
      </c>
      <c r="I71" s="30">
        <f>1/(1+WACC!$C$14)^ReverseDCF!$I$70</f>
        <v>0.66492300463388687</v>
      </c>
      <c r="J71" s="30">
        <f>1/(1+WACC!$C$14)^ReverseDCF!$J$70</f>
        <v>0.61280969917716566</v>
      </c>
      <c r="K71" s="2"/>
    </row>
    <row r="72" spans="1:11" x14ac:dyDescent="0.2">
      <c r="A72" s="3" t="s">
        <v>407</v>
      </c>
      <c r="B72" s="9" t="s">
        <v>56</v>
      </c>
      <c r="C72" s="2"/>
      <c r="D72" s="11">
        <f>ReverseDCF!$D$69*ReverseDCF!$D$71</f>
        <v>-3951.3353053997862</v>
      </c>
      <c r="E72" s="11">
        <f>ReverseDCF!$E$69*ReverseDCF!$E$71</f>
        <v>-1002.4207140451031</v>
      </c>
      <c r="F72" s="11">
        <f>ReverseDCF!$F$69*ReverseDCF!$F$71</f>
        <v>-839.62174048865643</v>
      </c>
      <c r="G72" s="11">
        <f>ReverseDCF!$G$69*ReverseDCF!$G$71</f>
        <v>-632.34747908934958</v>
      </c>
      <c r="H72" s="11">
        <f>ReverseDCF!$H$69*ReverseDCF!$H$71</f>
        <v>-62.265140650909565</v>
      </c>
      <c r="I72" s="11">
        <f>ReverseDCF!$I$69*ReverseDCF!$I$71</f>
        <v>160.6011584029562</v>
      </c>
      <c r="J72" s="11">
        <f>ReverseDCF!$J$69*ReverseDCF!$J$71</f>
        <v>351.63412051441225</v>
      </c>
      <c r="K72" s="2"/>
    </row>
    <row r="73" spans="1:11" x14ac:dyDescent="0.2">
      <c r="A73" s="3" t="s">
        <v>408</v>
      </c>
      <c r="B73" s="9" t="s">
        <v>91</v>
      </c>
      <c r="C73" s="2"/>
      <c r="D73" s="16">
        <f>(ReverseDCF!$D$59-Assumptions!$C$22)*(1-Assumptions!$C$10)/Assumptions!$C$6</f>
        <v>6.0918697153824004</v>
      </c>
      <c r="E73" s="16">
        <f>(ReverseDCF!$E$59-Assumptions!$D$22)*(1-Assumptions!$C$10)/Assumptions!$C$6</f>
        <v>7.9749557939760924</v>
      </c>
      <c r="F73" s="16">
        <f>(ReverseDCF!$F$59-Assumptions!$E$22)*(1-Assumptions!$C$10)/Assumptions!$C$6</f>
        <v>9.359960640164136</v>
      </c>
      <c r="G73" s="16">
        <f>(ReverseDCF!$G$59-Assumptions!$F$22)*(1-Assumptions!$C$10)/Assumptions!$C$6</f>
        <v>10.453581649864265</v>
      </c>
      <c r="H73" s="16">
        <f>(ReverseDCF!$H$59-Assumptions!$G$22)*(1-Assumptions!$C$10)/Assumptions!$C$6</f>
        <v>11.049984294342407</v>
      </c>
      <c r="I73" s="16">
        <f>(ReverseDCF!$I$59-Assumptions!$H$22)*(1-Assumptions!$C$10)/Assumptions!$C$6</f>
        <v>11.581932822099708</v>
      </c>
      <c r="J73" s="16">
        <f>(ReverseDCF!$J$59-Assumptions!$I$22)*(1-Assumptions!$C$10)/Assumptions!$C$6</f>
        <v>12.052451569422258</v>
      </c>
      <c r="K73" s="2"/>
    </row>
    <row r="74" spans="1:11" x14ac:dyDescent="0.2">
      <c r="A74" s="3" t="s">
        <v>409</v>
      </c>
      <c r="B74" s="9" t="s">
        <v>56</v>
      </c>
      <c r="C74" s="2"/>
      <c r="D74" s="2"/>
      <c r="E74" s="2"/>
      <c r="F74" s="2"/>
      <c r="G74" s="2"/>
      <c r="H74" s="2"/>
      <c r="I74" s="2"/>
      <c r="J74" s="11">
        <f>SUM(D72:J72)</f>
        <v>-5975.7551007564352</v>
      </c>
      <c r="K74" s="2"/>
    </row>
    <row r="75" spans="1:11" x14ac:dyDescent="0.2">
      <c r="A75" s="3" t="s">
        <v>410</v>
      </c>
      <c r="B75" s="9" t="s">
        <v>56</v>
      </c>
      <c r="C75" s="2"/>
      <c r="D75" s="2"/>
      <c r="E75" s="2"/>
      <c r="F75" s="2"/>
      <c r="G75" s="2"/>
      <c r="H75" s="2"/>
      <c r="I75" s="2"/>
      <c r="J75" s="11">
        <f>ReverseDCF!$J$65*(1+Assumptions!$C$24)*(1-Assumptions!$C$24/Assumptions!$C$25)/(WACC!$C$14-Assumptions!$C$24)</f>
        <v>61925.127203263757</v>
      </c>
      <c r="K75" s="2"/>
    </row>
    <row r="76" spans="1:11" x14ac:dyDescent="0.2">
      <c r="A76" s="3" t="s">
        <v>411</v>
      </c>
      <c r="B76" s="9" t="s">
        <v>192</v>
      </c>
      <c r="C76" s="2"/>
      <c r="D76" s="2"/>
      <c r="E76" s="2"/>
      <c r="F76" s="2"/>
      <c r="G76" s="2"/>
      <c r="H76" s="2"/>
      <c r="I76" s="2"/>
      <c r="J76" s="14">
        <f>Multiples!$C$52</f>
        <v>6.2149083769633506</v>
      </c>
      <c r="K76" s="9" t="s">
        <v>412</v>
      </c>
    </row>
    <row r="77" spans="1:11" x14ac:dyDescent="0.2">
      <c r="A77" s="3" t="s">
        <v>413</v>
      </c>
      <c r="B77" s="9" t="s">
        <v>56</v>
      </c>
      <c r="C77" s="2"/>
      <c r="D77" s="2"/>
      <c r="E77" s="2"/>
      <c r="F77" s="2"/>
      <c r="G77" s="2"/>
      <c r="H77" s="2"/>
      <c r="I77" s="2"/>
      <c r="J77" s="11">
        <f>ReverseDCF!$J$76*ReverseDCF!$J$62</f>
        <v>70878.471499350882</v>
      </c>
      <c r="K77" s="2"/>
    </row>
    <row r="78" spans="1:11" x14ac:dyDescent="0.2">
      <c r="A78" s="3" t="s">
        <v>414</v>
      </c>
      <c r="B78" s="9" t="s">
        <v>192</v>
      </c>
      <c r="C78" s="2"/>
      <c r="D78" s="2"/>
      <c r="E78" s="2"/>
      <c r="F78" s="2"/>
      <c r="G78" s="2"/>
      <c r="H78" s="2"/>
      <c r="I78" s="2"/>
      <c r="J78" s="30">
        <f>1/(1+WACC!$C$14)^6.5</f>
        <v>0.58830530726425412</v>
      </c>
      <c r="K78" s="2"/>
    </row>
    <row r="79" spans="1:11" x14ac:dyDescent="0.2">
      <c r="A79" s="3" t="s">
        <v>415</v>
      </c>
      <c r="B79" s="9" t="s">
        <v>56</v>
      </c>
      <c r="C79" s="2"/>
      <c r="D79" s="2"/>
      <c r="E79" s="2"/>
      <c r="F79" s="2"/>
      <c r="G79" s="2"/>
      <c r="H79" s="2"/>
      <c r="I79" s="2"/>
      <c r="J79" s="11">
        <f>ReverseDCF!$J$74+ReverseDCF!$J$75*ReverseDCF!$J$78</f>
        <v>30455.125885937672</v>
      </c>
      <c r="K79" s="2"/>
    </row>
    <row r="80" spans="1:11" x14ac:dyDescent="0.2">
      <c r="A80" s="3" t="s">
        <v>416</v>
      </c>
      <c r="B80" s="9" t="s">
        <v>56</v>
      </c>
      <c r="C80" s="2"/>
      <c r="D80" s="2"/>
      <c r="E80" s="2"/>
      <c r="F80" s="2"/>
      <c r="G80" s="2"/>
      <c r="H80" s="2"/>
      <c r="I80" s="2"/>
      <c r="J80" s="11">
        <f>ReverseDCF!$J$74+ReverseDCF!$J$77*ReverseDCF!$J$78</f>
        <v>35722.425853089866</v>
      </c>
      <c r="K80" s="2"/>
    </row>
    <row r="81" spans="1:11" x14ac:dyDescent="0.2">
      <c r="A81" s="3" t="s">
        <v>417</v>
      </c>
      <c r="B81" s="9" t="s">
        <v>150</v>
      </c>
      <c r="C81" s="2"/>
      <c r="D81" s="2"/>
      <c r="E81" s="2"/>
      <c r="F81" s="2"/>
      <c r="G81" s="2"/>
      <c r="H81" s="2"/>
      <c r="I81" s="2"/>
      <c r="J81" s="22">
        <f>ReverseDCF!$J$75*ReverseDCF!$J$78/ReverseDCF!$J$79</f>
        <v>1.1962150845521764</v>
      </c>
      <c r="K81" s="2"/>
    </row>
    <row r="82" spans="1:11" x14ac:dyDescent="0.2">
      <c r="A82" s="3" t="s">
        <v>418</v>
      </c>
      <c r="B82" s="9" t="s">
        <v>91</v>
      </c>
      <c r="C82" s="2"/>
      <c r="D82" s="2"/>
      <c r="E82" s="2"/>
      <c r="F82" s="2"/>
      <c r="G82" s="2"/>
      <c r="H82" s="2"/>
      <c r="I82" s="2"/>
      <c r="J82" s="16">
        <f>(ReverseDCF!$J$79-WACC!$C$15+Assumptions!$C$11)/Assumptions!$C$6</f>
        <v>43.937923716894275</v>
      </c>
      <c r="K82" s="2"/>
    </row>
    <row r="83" spans="1:11" x14ac:dyDescent="0.2">
      <c r="A83" s="3" t="s">
        <v>419</v>
      </c>
      <c r="B83" s="9" t="s">
        <v>91</v>
      </c>
      <c r="C83" s="2"/>
      <c r="D83" s="2"/>
      <c r="E83" s="2"/>
      <c r="F83" s="2"/>
      <c r="G83" s="2"/>
      <c r="H83" s="2"/>
      <c r="I83" s="2"/>
      <c r="J83" s="16">
        <f>(ReverseDCF!$J$80-WACC!$C$15+Assumptions!$C$11)/Assumptions!$C$6</f>
        <v>60.065602734506626</v>
      </c>
      <c r="K83" s="2"/>
    </row>
    <row r="84" spans="1:11" x14ac:dyDescent="0.2">
      <c r="A84" s="4" t="s">
        <v>420</v>
      </c>
      <c r="B84" s="9" t="s">
        <v>91</v>
      </c>
      <c r="C84" s="2"/>
      <c r="D84" s="2"/>
      <c r="E84" s="2"/>
      <c r="F84" s="2"/>
      <c r="G84" s="2"/>
      <c r="H84" s="2"/>
      <c r="I84" s="2"/>
      <c r="J84" s="31">
        <f>Assumptions!$C$13*ReverseDCF!$J$82+(1-Assumptions!$C$13)*ReverseDCF!$J$83</f>
        <v>52.001763225700451</v>
      </c>
      <c r="K84" s="2"/>
    </row>
    <row r="85" spans="1:11" x14ac:dyDescent="0.2">
      <c r="A85" s="3" t="s">
        <v>421</v>
      </c>
      <c r="B85" s="9" t="s">
        <v>192</v>
      </c>
      <c r="C85" s="2"/>
      <c r="D85" s="2"/>
      <c r="E85" s="2"/>
      <c r="F85" s="2"/>
      <c r="G85" s="2"/>
      <c r="H85" s="2"/>
      <c r="I85" s="2"/>
      <c r="J85" s="14">
        <f>ReverseDCF!$J$75/ReverseDCF!$J$62</f>
        <v>5.4298432748173697</v>
      </c>
      <c r="K85" s="2"/>
    </row>
    <row r="86" spans="1:1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">
      <c r="A87" s="5" t="s">
        <v>431</v>
      </c>
      <c r="B87" s="5" t="s">
        <v>22</v>
      </c>
      <c r="C87" s="6" t="s">
        <v>388</v>
      </c>
      <c r="D87" s="6" t="s">
        <v>217</v>
      </c>
      <c r="E87" s="6" t="s">
        <v>218</v>
      </c>
      <c r="F87" s="6" t="s">
        <v>219</v>
      </c>
      <c r="G87" s="6" t="s">
        <v>220</v>
      </c>
      <c r="H87" s="6" t="s">
        <v>221</v>
      </c>
      <c r="I87" s="6" t="s">
        <v>222</v>
      </c>
      <c r="J87" s="6" t="s">
        <v>223</v>
      </c>
      <c r="K87" s="6" t="s">
        <v>33</v>
      </c>
    </row>
    <row r="88" spans="1:11" x14ac:dyDescent="0.2">
      <c r="A88" s="3" t="s">
        <v>142</v>
      </c>
      <c r="B88" s="9" t="s">
        <v>36</v>
      </c>
      <c r="C88" s="11">
        <f>Hist!$I$5</f>
        <v>330284</v>
      </c>
      <c r="D88" s="11">
        <f>ReverseDCF!$C$88*(1+Assumptions!$C$35)</f>
        <v>338541.1</v>
      </c>
      <c r="E88" s="11">
        <f>ReverseDCF!$D$88*(1+Assumptions!$D$35)</f>
        <v>352082.74400000001</v>
      </c>
      <c r="F88" s="11">
        <f>ReverseDCF!$E$88*(1+Assumptions!$E$35)</f>
        <v>369686.8812</v>
      </c>
      <c r="G88" s="11">
        <f>ReverseDCF!$F$88*(1+Assumptions!$F$35)</f>
        <v>388171.22526000004</v>
      </c>
      <c r="H88" s="11">
        <f>ReverseDCF!$G$88*(1+Assumptions!$G$35)</f>
        <v>405638.93039669999</v>
      </c>
      <c r="I88" s="11">
        <f>ReverseDCF!$H$88*(1+Assumptions!$H$35)</f>
        <v>421864.48761256802</v>
      </c>
      <c r="J88" s="11">
        <f>ReverseDCF!$I$88*(1+Assumptions!$I$35)</f>
        <v>436629.74467900785</v>
      </c>
      <c r="K88" s="2"/>
    </row>
    <row r="89" spans="1:11" x14ac:dyDescent="0.2">
      <c r="A89" s="3" t="s">
        <v>389</v>
      </c>
      <c r="B89" s="9" t="s">
        <v>167</v>
      </c>
      <c r="C89" s="16">
        <f>Metrics!$I$13</f>
        <v>14.118152862385099</v>
      </c>
      <c r="D89" s="16">
        <f>ReverseDCF!$C$89*(1+Assumptions!$C$15)</f>
        <v>13.976971333761247</v>
      </c>
      <c r="E89" s="16">
        <f>ReverseDCF!$D$89*(1+Assumptions!$D$15)</f>
        <v>13.837201620423635</v>
      </c>
      <c r="F89" s="16">
        <f>ReverseDCF!$E$89*(1+Assumptions!$E$15)</f>
        <v>13.698829604219398</v>
      </c>
      <c r="G89" s="16">
        <f>ReverseDCF!$F$89*(1+Assumptions!$F$15)</f>
        <v>13.561841308177204</v>
      </c>
      <c r="H89" s="16">
        <f>ReverseDCF!$G$89*(1+Assumptions!$G$15)</f>
        <v>13.426222895095432</v>
      </c>
      <c r="I89" s="16">
        <f>ReverseDCF!$H$89*(1+Assumptions!$H$15)</f>
        <v>13.291960666144478</v>
      </c>
      <c r="J89" s="16">
        <f>ReverseDCF!$I$89*(1+Assumptions!$I$15)</f>
        <v>13.159041059483032</v>
      </c>
      <c r="K89" s="2"/>
    </row>
    <row r="90" spans="1:11" x14ac:dyDescent="0.2">
      <c r="A90" s="3" t="s">
        <v>147</v>
      </c>
      <c r="B90" s="9" t="s">
        <v>148</v>
      </c>
      <c r="C90" s="16">
        <f>Hist!$I$9</f>
        <v>2.44</v>
      </c>
      <c r="D90" s="16">
        <f>Assumptions!$C$39</f>
        <v>3.97</v>
      </c>
      <c r="E90" s="16">
        <f>Assumptions!$D$39</f>
        <v>3.3</v>
      </c>
      <c r="F90" s="16">
        <f>Assumptions!$E$39</f>
        <v>3</v>
      </c>
      <c r="G90" s="16">
        <f>Assumptions!$F$39</f>
        <v>2.9</v>
      </c>
      <c r="H90" s="16">
        <f>Assumptions!$G$39</f>
        <v>2.9</v>
      </c>
      <c r="I90" s="16">
        <f>Assumptions!$H$39</f>
        <v>2.95</v>
      </c>
      <c r="J90" s="16">
        <f>Assumptions!$I$39</f>
        <v>3</v>
      </c>
      <c r="K90" s="2"/>
    </row>
    <row r="91" spans="1:11" x14ac:dyDescent="0.2">
      <c r="A91" s="3" t="s">
        <v>164</v>
      </c>
      <c r="B91" s="9" t="s">
        <v>42</v>
      </c>
      <c r="C91" s="16">
        <f>ReverseDCF!$C$89*ReverseDCF!$C$90/10</f>
        <v>3.4448292984219639</v>
      </c>
      <c r="D91" s="16">
        <f>ReverseDCF!$D$89*ReverseDCF!$D$90/10</f>
        <v>5.5488576195032149</v>
      </c>
      <c r="E91" s="16">
        <f>ReverseDCF!$E$89*ReverseDCF!$E$90/10</f>
        <v>4.5662765347397993</v>
      </c>
      <c r="F91" s="16">
        <f>ReverseDCF!$F$89*ReverseDCF!$F$90/10</f>
        <v>4.1096488812658194</v>
      </c>
      <c r="G91" s="16">
        <f>ReverseDCF!$G$89*ReverseDCF!$G$90/10</f>
        <v>3.9329339793713891</v>
      </c>
      <c r="H91" s="16">
        <f>ReverseDCF!$H$89*ReverseDCF!$H$90/10</f>
        <v>3.8936046395776751</v>
      </c>
      <c r="I91" s="16">
        <f>ReverseDCF!$I$89*ReverseDCF!$I$90/10</f>
        <v>3.9211283965126214</v>
      </c>
      <c r="J91" s="16">
        <f>ReverseDCF!$J$89*ReverseDCF!$J$90/10</f>
        <v>3.9477123178449096</v>
      </c>
      <c r="K91" s="2"/>
    </row>
    <row r="92" spans="1:11" x14ac:dyDescent="0.2">
      <c r="A92" s="3" t="s">
        <v>390</v>
      </c>
      <c r="B92" s="9" t="s">
        <v>42</v>
      </c>
      <c r="C92" s="16">
        <f>Metrics!$I$8</f>
        <v>17.884608397621442</v>
      </c>
      <c r="D92" s="16">
        <f>ReverseDCF!$C$92*(1+Assumptions!$C$36)+Assumptions!$C$37*(ReverseDCF!$D$91-ReverseDCF!$C$91)</f>
        <v>20.014946264426978</v>
      </c>
      <c r="E92" s="16">
        <f>ReverseDCF!$D$92*(1+Assumptions!$D$36+ReverseDCF!$F$4)+Assumptions!$D$37*(ReverseDCF!$E$91-ReverseDCF!$D$91)</f>
        <v>19.678309376142956</v>
      </c>
      <c r="F92" s="16">
        <f>ReverseDCF!$E$92*(1+Assumptions!$E$36+ReverseDCF!$F$4)+Assumptions!$E$37*(ReverseDCF!$F$91-ReverseDCF!$E$91)</f>
        <v>19.713639457072549</v>
      </c>
      <c r="G92" s="16">
        <f>ReverseDCF!$F$92*(1+Assumptions!$F$36+ReverseDCF!$F$4)+Assumptions!$F$37*(ReverseDCF!$G$91-ReverseDCF!$F$91)</f>
        <v>20.029765541604931</v>
      </c>
      <c r="H92" s="16">
        <f>ReverseDCF!$G$92*(1+Assumptions!$G$36+ReverseDCF!$F$4)+Assumptions!$G$37*(ReverseDCF!$H$91-ReverseDCF!$G$91)</f>
        <v>20.491180340351338</v>
      </c>
      <c r="I92" s="16">
        <f>ReverseDCF!$H$92*(1+Assumptions!$H$36+ReverseDCF!$F$4)+Assumptions!$H$37*(ReverseDCF!$I$91-ReverseDCF!$H$91)</f>
        <v>21.030983605795068</v>
      </c>
      <c r="J92" s="16">
        <f>ReverseDCF!$I$92*(1+Assumptions!$I$36+ReverseDCF!$F$4)+Assumptions!$I$37*(ReverseDCF!$J$91-ReverseDCF!$I$91)</f>
        <v>21.583342117272231</v>
      </c>
      <c r="K92" s="2"/>
    </row>
    <row r="93" spans="1:11" x14ac:dyDescent="0.2">
      <c r="A93" s="4" t="s">
        <v>144</v>
      </c>
      <c r="B93" s="9" t="s">
        <v>56</v>
      </c>
      <c r="C93" s="15">
        <f>Hist!$I$19</f>
        <v>59070</v>
      </c>
      <c r="D93" s="15">
        <f>ReverseDCF!$D$88*ReverseDCF!$D$92/100</f>
        <v>67758.819247999985</v>
      </c>
      <c r="E93" s="15">
        <f>ReverseDCF!$E$88*ReverseDCF!$E$92/100</f>
        <v>69283.931624333403</v>
      </c>
      <c r="F93" s="15">
        <f>ReverseDCF!$F$88*ReverseDCF!$F$92/100</f>
        <v>72878.738879864119</v>
      </c>
      <c r="G93" s="15">
        <f>ReverseDCF!$G$88*ReverseDCF!$G$92/100</f>
        <v>77749.786319553139</v>
      </c>
      <c r="H93" s="15">
        <f>ReverseDCF!$H$88*ReverseDCF!$H$92/100</f>
        <v>83120.204758260035</v>
      </c>
      <c r="I93" s="15">
        <f>ReverseDCF!$I$88*ReverseDCF!$I$92/100</f>
        <v>88722.251228470544</v>
      </c>
      <c r="J93" s="15">
        <f>ReverseDCF!$J$88*ReverseDCF!$J$92/100</f>
        <v>94239.291579842509</v>
      </c>
      <c r="K93" s="2"/>
    </row>
    <row r="94" spans="1:11" x14ac:dyDescent="0.2">
      <c r="A94" s="3" t="s">
        <v>146</v>
      </c>
      <c r="B94" s="9" t="s">
        <v>42</v>
      </c>
      <c r="C94" s="16">
        <f>Metrics!$I$10</f>
        <v>12.64</v>
      </c>
      <c r="D94" s="16">
        <f>ReverseDCF!$C$94*(1+Assumptions!$C$38)</f>
        <v>13.3352</v>
      </c>
      <c r="E94" s="16">
        <f>ReverseDCF!$D$94*(1+Assumptions!$D$38)</f>
        <v>13.668579999999999</v>
      </c>
      <c r="F94" s="16">
        <f>ReverseDCF!$E$94*(1+Assumptions!$E$38)</f>
        <v>13.941951599999999</v>
      </c>
      <c r="G94" s="16">
        <f>ReverseDCF!$F$94*(1+Assumptions!$F$38)</f>
        <v>14.262616486799999</v>
      </c>
      <c r="H94" s="16">
        <f>ReverseDCF!$G$94*(1+Assumptions!$G$38)</f>
        <v>14.647707131943598</v>
      </c>
      <c r="I94" s="16">
        <f>ReverseDCF!$H$94*(1+Assumptions!$H$38)</f>
        <v>15.043195224506073</v>
      </c>
      <c r="J94" s="16">
        <f>ReverseDCF!$I$94*(1+Assumptions!$I$38)</f>
        <v>15.449361495567736</v>
      </c>
      <c r="K94" s="2"/>
    </row>
    <row r="95" spans="1:11" x14ac:dyDescent="0.2">
      <c r="A95" s="3" t="s">
        <v>391</v>
      </c>
      <c r="B95" s="9" t="s">
        <v>56</v>
      </c>
      <c r="C95" s="2"/>
      <c r="D95" s="11">
        <f>ReverseDCF!$D$88*ReverseDCF!$D$94/100</f>
        <v>45145.132767199997</v>
      </c>
      <c r="E95" s="11">
        <f>ReverseDCF!$E$88*ReverseDCF!$E$94/100</f>
        <v>48124.711529835193</v>
      </c>
      <c r="F95" s="11">
        <f>ReverseDCF!$F$88*ReverseDCF!$F$94/100</f>
        <v>51541.566048453496</v>
      </c>
      <c r="G95" s="11">
        <f>ReverseDCF!$G$88*ReverseDCF!$G$94/100</f>
        <v>55363.373170946325</v>
      </c>
      <c r="H95" s="11">
        <f>ReverseDCF!$H$88*ReverseDCF!$H$94/100</f>
        <v>59416.802537657153</v>
      </c>
      <c r="I95" s="11">
        <f>ReverseDCF!$I$88*ReverseDCF!$I$94/100</f>
        <v>63461.898454420843</v>
      </c>
      <c r="J95" s="11">
        <f>ReverseDCF!$J$88*ReverseDCF!$J$94/100</f>
        <v>67456.507652634347</v>
      </c>
      <c r="K95" s="2"/>
    </row>
    <row r="96" spans="1:11" x14ac:dyDescent="0.2">
      <c r="A96" s="3" t="s">
        <v>392</v>
      </c>
      <c r="B96" s="9" t="s">
        <v>56</v>
      </c>
      <c r="C96" s="2"/>
      <c r="D96" s="11">
        <f>ReverseDCF!$D$88*ReverseDCF!$D$91/100</f>
        <v>18785.163622499997</v>
      </c>
      <c r="E96" s="11">
        <f>ReverseDCF!$E$88*ReverseDCF!$E$91/100</f>
        <v>16077.071722139997</v>
      </c>
      <c r="F96" s="11">
        <f>ReverseDCF!$F$88*ReverseDCF!$F$91/100</f>
        <v>15192.832777422298</v>
      </c>
      <c r="G96" s="11">
        <f>ReverseDCF!$G$88*ReverseDCF!$G$91/100</f>
        <v>15266.518016392798</v>
      </c>
      <c r="H96" s="11">
        <f>ReverseDCF!$H$88*ReverseDCF!$H$91/100</f>
        <v>15793.976213859167</v>
      </c>
      <c r="I96" s="11">
        <f>ReverseDCF!$I$88*ReverseDCF!$I$91/100</f>
        <v>16541.848218578874</v>
      </c>
      <c r="J96" s="11">
        <f>ReverseDCF!$J$88*ReverseDCF!$J$91/100</f>
        <v>17236.88621406797</v>
      </c>
      <c r="K96" s="2"/>
    </row>
    <row r="97" spans="1:11" x14ac:dyDescent="0.2">
      <c r="A97" s="3" t="s">
        <v>393</v>
      </c>
      <c r="B97" s="9" t="s">
        <v>56</v>
      </c>
      <c r="C97" s="2"/>
      <c r="D97" s="11">
        <f>ReverseDCF!$D$93*Assumptions!$C$16</f>
        <v>304.91468661599993</v>
      </c>
      <c r="E97" s="11">
        <f>ReverseDCF!$E$93*Assumptions!$D$16</f>
        <v>311.77769230950031</v>
      </c>
      <c r="F97" s="11">
        <f>ReverseDCF!$F$93*Assumptions!$E$16</f>
        <v>327.95432495938849</v>
      </c>
      <c r="G97" s="11">
        <f>ReverseDCF!$G$93*Assumptions!$F$16</f>
        <v>349.8740384379891</v>
      </c>
      <c r="H97" s="11">
        <f>ReverseDCF!$H$93*Assumptions!$G$16</f>
        <v>374.04092141217012</v>
      </c>
      <c r="I97" s="11">
        <f>ReverseDCF!$I$93*Assumptions!$H$16</f>
        <v>399.25013052811744</v>
      </c>
      <c r="J97" s="11">
        <f>ReverseDCF!$J$93*Assumptions!$I$16</f>
        <v>424.07681210929127</v>
      </c>
      <c r="K97" s="2"/>
    </row>
    <row r="98" spans="1:11" x14ac:dyDescent="0.2">
      <c r="A98" s="3" t="s">
        <v>394</v>
      </c>
      <c r="B98" s="9" t="s">
        <v>56</v>
      </c>
      <c r="C98" s="2"/>
      <c r="D98" s="11">
        <f>ReverseDCF!$D$93-ReverseDCF!$D$95-ReverseDCF!$D$96-ReverseDCF!$D$97</f>
        <v>3523.6081716839917</v>
      </c>
      <c r="E98" s="11">
        <f>ReverseDCF!$E$93-ReverseDCF!$E$95-ReverseDCF!$E$96-ReverseDCF!$E$97</f>
        <v>4770.3706800487125</v>
      </c>
      <c r="F98" s="11">
        <f>ReverseDCF!$F$93-ReverseDCF!$F$95-ReverseDCF!$F$96-ReverseDCF!$F$97</f>
        <v>5816.3857290289361</v>
      </c>
      <c r="G98" s="11">
        <f>ReverseDCF!$G$93-ReverseDCF!$G$95-ReverseDCF!$G$96-ReverseDCF!$G$97</f>
        <v>6770.0210937760276</v>
      </c>
      <c r="H98" s="11">
        <f>ReverseDCF!$H$93-ReverseDCF!$H$95-ReverseDCF!$H$96-ReverseDCF!$H$97</f>
        <v>7535.3850853315453</v>
      </c>
      <c r="I98" s="11">
        <f>ReverseDCF!$I$93-ReverseDCF!$I$95-ReverseDCF!$I$96-ReverseDCF!$I$97</f>
        <v>8319.2544249427101</v>
      </c>
      <c r="J98" s="11">
        <f>ReverseDCF!$J$93-ReverseDCF!$J$95-ReverseDCF!$J$96-ReverseDCF!$J$97</f>
        <v>9121.8209010309001</v>
      </c>
      <c r="K98" s="2"/>
    </row>
    <row r="99" spans="1:11" x14ac:dyDescent="0.2">
      <c r="A99" s="3" t="s">
        <v>250</v>
      </c>
      <c r="B99" s="9" t="s">
        <v>56</v>
      </c>
      <c r="C99" s="2"/>
      <c r="D99" s="11">
        <f>MAX(0,ReverseDCF!$D$98)*Assumptions!$C$17</f>
        <v>422.83298060207898</v>
      </c>
      <c r="E99" s="11">
        <f>MAX(0,ReverseDCF!$E$98)*Assumptions!$D$17</f>
        <v>572.44448160584545</v>
      </c>
      <c r="F99" s="11">
        <f>MAX(0,ReverseDCF!$F$98)*Assumptions!$E$17</f>
        <v>697.96628748347234</v>
      </c>
      <c r="G99" s="11">
        <f>MAX(0,ReverseDCF!$G$98)*Assumptions!$F$17</f>
        <v>812.40253125312324</v>
      </c>
      <c r="H99" s="11">
        <f>MAX(0,ReverseDCF!$H$98)*Assumptions!$G$17</f>
        <v>904.24621023978546</v>
      </c>
      <c r="I99" s="11">
        <f>MAX(0,ReverseDCF!$I$98)*Assumptions!$H$17</f>
        <v>998.31053099312521</v>
      </c>
      <c r="J99" s="11">
        <f>MAX(0,ReverseDCF!$J$98)*Assumptions!$I$17</f>
        <v>1094.6185081237079</v>
      </c>
      <c r="K99" s="2"/>
    </row>
    <row r="100" spans="1:11" x14ac:dyDescent="0.2">
      <c r="A100" s="4" t="s">
        <v>395</v>
      </c>
      <c r="B100" s="9" t="s">
        <v>56</v>
      </c>
      <c r="C100" s="15">
        <f>Hist!$I$31</f>
        <v>4972</v>
      </c>
      <c r="D100" s="15">
        <f>ReverseDCF!$D$98-ReverseDCF!$D$99</f>
        <v>3100.7751910819129</v>
      </c>
      <c r="E100" s="15">
        <f>ReverseDCF!$E$98-ReverseDCF!$E$99</f>
        <v>4197.9261984428667</v>
      </c>
      <c r="F100" s="15">
        <f>ReverseDCF!$F$98-ReverseDCF!$F$99</f>
        <v>5118.419441545464</v>
      </c>
      <c r="G100" s="15">
        <f>ReverseDCF!$G$98-ReverseDCF!$G$99</f>
        <v>5957.6185625229045</v>
      </c>
      <c r="H100" s="15">
        <f>ReverseDCF!$H$98-ReverseDCF!$H$99</f>
        <v>6631.1388750917595</v>
      </c>
      <c r="I100" s="15">
        <f>ReverseDCF!$I$98-ReverseDCF!$I$99</f>
        <v>7320.9438939495849</v>
      </c>
      <c r="J100" s="15">
        <f>ReverseDCF!$J$98-ReverseDCF!$J$99</f>
        <v>8027.202392907192</v>
      </c>
      <c r="K100" s="2"/>
    </row>
    <row r="101" spans="1:11" x14ac:dyDescent="0.2">
      <c r="A101" s="3" t="s">
        <v>149</v>
      </c>
      <c r="B101" s="9" t="s">
        <v>150</v>
      </c>
      <c r="C101" s="19">
        <f>ReverseDCF!$C$100/ReverseDCF!$C$93</f>
        <v>8.417132216014897E-2</v>
      </c>
      <c r="D101" s="19">
        <f>ReverseDCF!$D$100/ReverseDCF!$D$93</f>
        <v>4.5761942511615382E-2</v>
      </c>
      <c r="E101" s="19">
        <f>ReverseDCF!$E$100/ReverseDCF!$E$93</f>
        <v>6.0590184477471269E-2</v>
      </c>
      <c r="F101" s="19">
        <f>ReverseDCF!$F$100/ReverseDCF!$F$93</f>
        <v>7.0231997976568275E-2</v>
      </c>
      <c r="G101" s="19">
        <f>ReverseDCF!$G$100/ReverseDCF!$G$93</f>
        <v>7.6625529722190819E-2</v>
      </c>
      <c r="H101" s="19">
        <f>ReverseDCF!$H$100/ReverseDCF!$H$93</f>
        <v>7.9777701394952258E-2</v>
      </c>
      <c r="I101" s="19">
        <f>ReverseDCF!$I$100/ReverseDCF!$I$93</f>
        <v>8.2515308083169203E-2</v>
      </c>
      <c r="J101" s="19">
        <f>ReverseDCF!$J$100/ReverseDCF!$J$93</f>
        <v>8.5178933949288993E-2</v>
      </c>
      <c r="K101" s="2"/>
    </row>
    <row r="102" spans="1:11" x14ac:dyDescent="0.2">
      <c r="A102" s="3" t="s">
        <v>253</v>
      </c>
      <c r="B102" s="9" t="s">
        <v>56</v>
      </c>
      <c r="C102" s="11">
        <f>Hist!$I$26</f>
        <v>2939</v>
      </c>
      <c r="D102" s="11">
        <f>ReverseDCF!$D$93*Assumptions!$C$18</f>
        <v>3252.4233239039995</v>
      </c>
      <c r="E102" s="11">
        <f>ReverseDCF!$E$93*Assumptions!$D$18</f>
        <v>3325.6287179680035</v>
      </c>
      <c r="F102" s="11">
        <f>ReverseDCF!$F$93*Assumptions!$E$18</f>
        <v>3498.1794662334778</v>
      </c>
      <c r="G102" s="11">
        <f>ReverseDCF!$G$93*Assumptions!$F$18</f>
        <v>3731.9897433385509</v>
      </c>
      <c r="H102" s="11">
        <f>ReverseDCF!$H$93*Assumptions!$G$18</f>
        <v>3989.7698283964819</v>
      </c>
      <c r="I102" s="11">
        <f>ReverseDCF!$I$93*Assumptions!$H$18</f>
        <v>4258.6680589665866</v>
      </c>
      <c r="J102" s="11">
        <f>ReverseDCF!$J$93*Assumptions!$I$18</f>
        <v>4523.4859958324405</v>
      </c>
      <c r="K102" s="2"/>
    </row>
    <row r="103" spans="1:11" x14ac:dyDescent="0.2">
      <c r="A103" s="3" t="s">
        <v>396</v>
      </c>
      <c r="B103" s="9" t="s">
        <v>56</v>
      </c>
      <c r="C103" s="11">
        <f>Metrics!$I$31</f>
        <v>8970</v>
      </c>
      <c r="D103" s="11">
        <f>ReverseDCF!$D$100+ReverseDCF!$D$102+ReverseDCF!$D$93*Assumptions!$C$19</f>
        <v>7403.4602133299122</v>
      </c>
      <c r="E103" s="11">
        <f>ReverseDCF!$E$100+ReverseDCF!$E$102+ReverseDCF!$E$93*Assumptions!$D$19</f>
        <v>8597.4558565880379</v>
      </c>
      <c r="F103" s="11">
        <f>ReverseDCF!$F$100+ReverseDCF!$F$102+ReverseDCF!$F$93*Assumptions!$E$19</f>
        <v>9746.2193604168351</v>
      </c>
      <c r="G103" s="11">
        <f>ReverseDCF!$G$100+ReverseDCF!$G$102+ReverseDCF!$G$93*Assumptions!$F$19</f>
        <v>10894.729993814528</v>
      </c>
      <c r="H103" s="11">
        <f>ReverseDCF!$H$100+ReverseDCF!$H$102+ReverseDCF!$H$93*Assumptions!$G$19</f>
        <v>11909.271877241272</v>
      </c>
      <c r="I103" s="11">
        <f>ReverseDCF!$I$100+ReverseDCF!$I$102+ReverseDCF!$I$93*Assumptions!$H$19</f>
        <v>12954.806846957465</v>
      </c>
      <c r="J103" s="11">
        <f>ReverseDCF!$J$100+ReverseDCF!$J$102+ReverseDCF!$J$93*Assumptions!$I$19</f>
        <v>14011.397408227191</v>
      </c>
      <c r="K103" s="2"/>
    </row>
    <row r="104" spans="1:11" x14ac:dyDescent="0.2">
      <c r="A104" s="3" t="s">
        <v>397</v>
      </c>
      <c r="B104" s="9" t="s">
        <v>56</v>
      </c>
      <c r="C104" s="2"/>
      <c r="D104" s="11">
        <f>Hist!$K$51</f>
        <v>7204</v>
      </c>
      <c r="E104" s="11">
        <f>ReverseDCF!$D$104*(1+Assumptions!$D$35)</f>
        <v>7492.16</v>
      </c>
      <c r="F104" s="11">
        <f>ReverseDCF!$E$104*(1+Assumptions!$E$35)</f>
        <v>7866.768</v>
      </c>
      <c r="G104" s="11">
        <f>ReverseDCF!$F$104*(1+Assumptions!$F$35)</f>
        <v>8260.1064000000006</v>
      </c>
      <c r="H104" s="11">
        <f>ReverseDCF!$G$104*(1+Assumptions!$G$35)</f>
        <v>8631.8111879999997</v>
      </c>
      <c r="I104" s="11">
        <f>ReverseDCF!$H$104*(1+Assumptions!$H$35)</f>
        <v>8977.0836355200008</v>
      </c>
      <c r="J104" s="11">
        <f>ReverseDCF!$I$104*(1+Assumptions!$I$35)</f>
        <v>9291.2815627632008</v>
      </c>
      <c r="K104" s="2"/>
    </row>
    <row r="105" spans="1:11" x14ac:dyDescent="0.2">
      <c r="A105" s="3" t="s">
        <v>398</v>
      </c>
      <c r="B105" s="9" t="s">
        <v>56</v>
      </c>
      <c r="C105" s="2"/>
      <c r="D105" s="11">
        <f>ReverseDCF!$D$104*Assumptions!$C$20</f>
        <v>468.26</v>
      </c>
      <c r="E105" s="11">
        <f>ReverseDCF!$E$104*Assumptions!$C$20</f>
        <v>486.99040000000002</v>
      </c>
      <c r="F105" s="11">
        <f>ReverseDCF!$F$104*Assumptions!$C$20</f>
        <v>511.33992000000001</v>
      </c>
      <c r="G105" s="11">
        <f>ReverseDCF!$G$104*Assumptions!$C$20</f>
        <v>536.90691600000002</v>
      </c>
      <c r="H105" s="11">
        <f>ReverseDCF!$H$104*Assumptions!$C$20</f>
        <v>561.06772722000005</v>
      </c>
      <c r="I105" s="11">
        <f>ReverseDCF!$I$104*Assumptions!$C$20</f>
        <v>583.51043630880008</v>
      </c>
      <c r="J105" s="11">
        <f>ReverseDCF!$J$104*Assumptions!$C$20</f>
        <v>603.93330157960804</v>
      </c>
      <c r="K105" s="2"/>
    </row>
    <row r="106" spans="1:11" x14ac:dyDescent="0.2">
      <c r="A106" s="3" t="s">
        <v>399</v>
      </c>
      <c r="B106" s="9" t="s">
        <v>56</v>
      </c>
      <c r="C106" s="2"/>
      <c r="D106" s="11">
        <f>(ReverseDCF!$D$100+ReverseDCF!$D$105)*(1-Assumptions!$C$10)</f>
        <v>2783.8474490438921</v>
      </c>
      <c r="E106" s="11">
        <f>(ReverseDCF!$E$100+ReverseDCF!$E$105)*(1-Assumptions!$C$10)</f>
        <v>3654.234946785436</v>
      </c>
      <c r="F106" s="11">
        <f>(ReverseDCF!$F$100+ReverseDCF!$F$105)*(1-Assumptions!$C$10)</f>
        <v>4391.2123020054623</v>
      </c>
      <c r="G106" s="11">
        <f>(ReverseDCF!$G$100+ReverseDCF!$G$105)*(1-Assumptions!$C$10)</f>
        <v>5065.7298732478657</v>
      </c>
      <c r="H106" s="11">
        <f>(ReverseDCF!$H$100+ReverseDCF!$H$105)*(1-Assumptions!$C$10)</f>
        <v>5609.9211498031727</v>
      </c>
      <c r="I106" s="11">
        <f>(ReverseDCF!$I$100+ReverseDCF!$I$105)*(1-Assumptions!$C$10)</f>
        <v>6165.4743776015403</v>
      </c>
      <c r="J106" s="11">
        <f>(ReverseDCF!$J$100+ReverseDCF!$J$105)*(1-Assumptions!$C$10)</f>
        <v>6732.2858416997042</v>
      </c>
      <c r="K106" s="2"/>
    </row>
    <row r="107" spans="1:11" x14ac:dyDescent="0.2">
      <c r="A107" s="3" t="s">
        <v>278</v>
      </c>
      <c r="B107" s="9" t="s">
        <v>56</v>
      </c>
      <c r="C107" s="2"/>
      <c r="D107" s="11">
        <f>Assumptions!$C$23</f>
        <v>7500</v>
      </c>
      <c r="E107" s="11">
        <f>ReverseDCF!$E$93*Assumptions!$D$40</f>
        <v>7967.6521367983414</v>
      </c>
      <c r="F107" s="11">
        <f>ReverseDCF!$F$93*Assumptions!$E$40</f>
        <v>8745.4486655836936</v>
      </c>
      <c r="G107" s="11">
        <f>ReverseDCF!$G$93*Assumptions!$F$40</f>
        <v>9329.9743583463769</v>
      </c>
      <c r="H107" s="11">
        <f>ReverseDCF!$H$93*Assumptions!$G$40</f>
        <v>9143.2225234086036</v>
      </c>
      <c r="I107" s="11">
        <f>ReverseDCF!$I$93*Assumptions!$H$40</f>
        <v>9315.8363789894065</v>
      </c>
      <c r="J107" s="11">
        <f>ReverseDCF!$J$93*Assumptions!$I$40</f>
        <v>9423.929157984252</v>
      </c>
      <c r="K107" s="2"/>
    </row>
    <row r="108" spans="1:11" x14ac:dyDescent="0.2">
      <c r="A108" s="3" t="s">
        <v>400</v>
      </c>
      <c r="B108" s="9" t="s">
        <v>56</v>
      </c>
      <c r="C108" s="2"/>
      <c r="D108" s="11">
        <f>(ReverseDCF!$D$93-ReverseDCF!$C$93)*Assumptions!$C$21</f>
        <v>868.88192479999861</v>
      </c>
      <c r="E108" s="11">
        <f>(ReverseDCF!$E$93-ReverseDCF!$D$93)*Assumptions!$D$21</f>
        <v>152.51123763334181</v>
      </c>
      <c r="F108" s="11">
        <f>(ReverseDCF!$F$93-ReverseDCF!$E$93)*Assumptions!$E$21</f>
        <v>359.48072555307158</v>
      </c>
      <c r="G108" s="11">
        <f>(ReverseDCF!$G$93-ReverseDCF!$F$93)*Assumptions!$F$21</f>
        <v>487.10474396890208</v>
      </c>
      <c r="H108" s="11">
        <f>(ReverseDCF!$H$93-ReverseDCF!$G$93)*Assumptions!$G$21</f>
        <v>537.0418438706896</v>
      </c>
      <c r="I108" s="11">
        <f>(ReverseDCF!$I$93-ReverseDCF!$H$93)*Assumptions!$H$21</f>
        <v>560.20464702105096</v>
      </c>
      <c r="J108" s="11">
        <f>(ReverseDCF!$J$93-ReverseDCF!$I$93)*Assumptions!$I$21</f>
        <v>551.70403513719646</v>
      </c>
      <c r="K108" s="2"/>
    </row>
    <row r="109" spans="1:11" x14ac:dyDescent="0.2">
      <c r="A109" s="4" t="s">
        <v>401</v>
      </c>
      <c r="B109" s="9" t="s">
        <v>56</v>
      </c>
      <c r="C109" s="2"/>
      <c r="D109" s="15">
        <f>ReverseDCF!$D$106+ReverseDCF!$D$102-ReverseDCF!$D$107+ReverseDCF!$D$108</f>
        <v>-594.84730225210978</v>
      </c>
      <c r="E109" s="15">
        <f>ReverseDCF!$E$106+ReverseDCF!$E$102-ReverseDCF!$E$107+ReverseDCF!$E$108</f>
        <v>-835.27723441156013</v>
      </c>
      <c r="F109" s="15">
        <f>ReverseDCF!$F$106+ReverseDCF!$F$102-ReverseDCF!$F$107+ReverseDCF!$F$108</f>
        <v>-496.57617179168187</v>
      </c>
      <c r="G109" s="15">
        <f>ReverseDCF!$G$106+ReverseDCF!$G$102-ReverseDCF!$G$107+ReverseDCF!$G$108</f>
        <v>-45.149997791057785</v>
      </c>
      <c r="H109" s="15">
        <f>ReverseDCF!$H$106+ReverseDCF!$H$102-ReverseDCF!$H$107+ReverseDCF!$H$108</f>
        <v>993.51029866174065</v>
      </c>
      <c r="I109" s="15">
        <f>ReverseDCF!$I$106+ReverseDCF!$I$102-ReverseDCF!$I$107+ReverseDCF!$I$108</f>
        <v>1668.5107045997713</v>
      </c>
      <c r="J109" s="15">
        <f>ReverseDCF!$J$106+ReverseDCF!$J$102-ReverseDCF!$J$107+ReverseDCF!$J$108</f>
        <v>2383.5467146850901</v>
      </c>
      <c r="K109" s="2"/>
    </row>
    <row r="110" spans="1:11" x14ac:dyDescent="0.2">
      <c r="A110" s="3" t="s">
        <v>402</v>
      </c>
      <c r="B110" s="9" t="s">
        <v>56</v>
      </c>
      <c r="C110" s="2"/>
      <c r="D110" s="11">
        <f>ReverseDCF!$D$109-Assumptions!$C$12</f>
        <v>-4032.7873022521098</v>
      </c>
      <c r="E110" s="11">
        <f>ReverseDCF!$E$109</f>
        <v>-835.27723441156013</v>
      </c>
      <c r="F110" s="11">
        <f>ReverseDCF!$F$109</f>
        <v>-496.57617179168187</v>
      </c>
      <c r="G110" s="11">
        <f>ReverseDCF!$G$109</f>
        <v>-45.149997791057785</v>
      </c>
      <c r="H110" s="11">
        <f>ReverseDCF!$H$109</f>
        <v>993.51029866174065</v>
      </c>
      <c r="I110" s="11">
        <f>ReverseDCF!$I$109</f>
        <v>1668.5107045997713</v>
      </c>
      <c r="J110" s="11">
        <f>ReverseDCF!$J$109</f>
        <v>2383.5467146850901</v>
      </c>
      <c r="K110" s="2"/>
    </row>
    <row r="111" spans="1:11" x14ac:dyDescent="0.2">
      <c r="A111" s="3" t="s">
        <v>403</v>
      </c>
      <c r="B111" s="9" t="s">
        <v>404</v>
      </c>
      <c r="C111" s="2"/>
      <c r="D111" s="12">
        <v>0.25</v>
      </c>
      <c r="E111" s="12">
        <v>1</v>
      </c>
      <c r="F111" s="12">
        <v>2</v>
      </c>
      <c r="G111" s="12">
        <v>3</v>
      </c>
      <c r="H111" s="12">
        <v>4</v>
      </c>
      <c r="I111" s="12">
        <v>5</v>
      </c>
      <c r="J111" s="12">
        <v>6</v>
      </c>
      <c r="K111" s="9" t="s">
        <v>405</v>
      </c>
    </row>
    <row r="112" spans="1:11" x14ac:dyDescent="0.2">
      <c r="A112" s="3" t="s">
        <v>406</v>
      </c>
      <c r="B112" s="9" t="s">
        <v>192</v>
      </c>
      <c r="C112" s="2"/>
      <c r="D112" s="30">
        <f>1/(1+WACC!$C$14)^ReverseDCF!$D$111</f>
        <v>0.97980255571454589</v>
      </c>
      <c r="E112" s="30">
        <f>1/(1+WACC!$C$14)^ReverseDCF!$E$111</f>
        <v>0.92162505268498662</v>
      </c>
      <c r="F112" s="30">
        <f>1/(1+WACC!$C$14)^ReverseDCF!$F$111</f>
        <v>0.8493927377366044</v>
      </c>
      <c r="G112" s="30">
        <f>1/(1+WACC!$C$14)^ReverseDCF!$G$111</f>
        <v>0.78282162666674304</v>
      </c>
      <c r="H112" s="30">
        <f>1/(1+WACC!$C$14)^ReverseDCF!$H$111</f>
        <v>0.72146802291968404</v>
      </c>
      <c r="I112" s="30">
        <f>1/(1+WACC!$C$14)^ReverseDCF!$I$111</f>
        <v>0.66492300463388687</v>
      </c>
      <c r="J112" s="30">
        <f>1/(1+WACC!$C$14)^ReverseDCF!$J$111</f>
        <v>0.61280969917716566</v>
      </c>
      <c r="K112" s="2"/>
    </row>
    <row r="113" spans="1:11" x14ac:dyDescent="0.2">
      <c r="A113" s="3" t="s">
        <v>407</v>
      </c>
      <c r="B113" s="9" t="s">
        <v>56</v>
      </c>
      <c r="C113" s="2"/>
      <c r="D113" s="11">
        <f>ReverseDCF!$D$110*ReverseDCF!$D$112</f>
        <v>-3951.3353053997862</v>
      </c>
      <c r="E113" s="11">
        <f>ReverseDCF!$E$110*ReverseDCF!$E$112</f>
        <v>-769.812425171124</v>
      </c>
      <c r="F113" s="11">
        <f>ReverseDCF!$F$110*ReverseDCF!$F$112</f>
        <v>-421.78819405289903</v>
      </c>
      <c r="G113" s="11">
        <f>ReverseDCF!$G$110*ReverseDCF!$G$112</f>
        <v>-35.344394714795712</v>
      </c>
      <c r="H113" s="11">
        <f>ReverseDCF!$H$110*ReverseDCF!$H$112</f>
        <v>716.78591092583088</v>
      </c>
      <c r="I113" s="11">
        <f>ReverseDCF!$I$110*ReverseDCF!$I$112</f>
        <v>1109.4311509662837</v>
      </c>
      <c r="J113" s="11">
        <f>ReverseDCF!$J$110*ReverseDCF!$J$112</f>
        <v>1460.6605452008916</v>
      </c>
      <c r="K113" s="2"/>
    </row>
    <row r="114" spans="1:11" x14ac:dyDescent="0.2">
      <c r="A114" s="3" t="s">
        <v>408</v>
      </c>
      <c r="B114" s="9" t="s">
        <v>91</v>
      </c>
      <c r="C114" s="2"/>
      <c r="D114" s="16">
        <f>(ReverseDCF!$D$100-Assumptions!$C$22)*(1-Assumptions!$C$10)/Assumptions!$C$6</f>
        <v>6.0918697153824004</v>
      </c>
      <c r="E114" s="16">
        <f>(ReverseDCF!$E$100-Assumptions!$D$22)*(1-Assumptions!$C$10)/Assumptions!$C$6</f>
        <v>8.7121323783999873</v>
      </c>
      <c r="F114" s="16">
        <f>(ReverseDCF!$F$100-Assumptions!$E$22)*(1-Assumptions!$C$10)/Assumptions!$C$6</f>
        <v>10.910493461131237</v>
      </c>
      <c r="G114" s="16">
        <f>(ReverseDCF!$G$100-Assumptions!$F$22)*(1-Assumptions!$C$10)/Assumptions!$C$6</f>
        <v>12.91470446652745</v>
      </c>
      <c r="H114" s="16">
        <f>(ReverseDCF!$H$100-Assumptions!$G$22)*(1-Assumptions!$C$10)/Assumptions!$C$6</f>
        <v>14.523234300586564</v>
      </c>
      <c r="I114" s="16">
        <f>(ReverseDCF!$I$100-Assumptions!$H$22)*(1-Assumptions!$C$10)/Assumptions!$C$6</f>
        <v>16.170655962280083</v>
      </c>
      <c r="J114" s="16">
        <f>(ReverseDCF!$J$100-Assumptions!$I$22)*(1-Assumptions!$C$10)/Assumptions!$C$6</f>
        <v>17.857372524395622</v>
      </c>
      <c r="K114" s="2"/>
    </row>
    <row r="115" spans="1:11" x14ac:dyDescent="0.2">
      <c r="A115" s="3" t="s">
        <v>409</v>
      </c>
      <c r="B115" s="9" t="s">
        <v>56</v>
      </c>
      <c r="C115" s="2"/>
      <c r="D115" s="2"/>
      <c r="E115" s="2"/>
      <c r="F115" s="2"/>
      <c r="G115" s="2"/>
      <c r="H115" s="2"/>
      <c r="I115" s="2"/>
      <c r="J115" s="11">
        <f>SUM(D113:J113)</f>
        <v>-1891.4027122455982</v>
      </c>
      <c r="K115" s="2"/>
    </row>
    <row r="116" spans="1:11" x14ac:dyDescent="0.2">
      <c r="A116" s="3" t="s">
        <v>410</v>
      </c>
      <c r="B116" s="9" t="s">
        <v>56</v>
      </c>
      <c r="C116" s="2"/>
      <c r="D116" s="2"/>
      <c r="E116" s="2"/>
      <c r="F116" s="2"/>
      <c r="G116" s="2"/>
      <c r="H116" s="2"/>
      <c r="I116" s="2"/>
      <c r="J116" s="11">
        <f>ReverseDCF!$J$106*(1+Assumptions!$C$24)*(1-Assumptions!$C$24/Assumptions!$C$25)/(WACC!$C$14-Assumptions!$C$24)</f>
        <v>86200.01919055199</v>
      </c>
      <c r="K116" s="2"/>
    </row>
    <row r="117" spans="1:11" x14ac:dyDescent="0.2">
      <c r="A117" s="3" t="s">
        <v>411</v>
      </c>
      <c r="B117" s="9" t="s">
        <v>192</v>
      </c>
      <c r="C117" s="2"/>
      <c r="D117" s="2"/>
      <c r="E117" s="2"/>
      <c r="F117" s="2"/>
      <c r="G117" s="2"/>
      <c r="H117" s="2"/>
      <c r="I117" s="2"/>
      <c r="J117" s="14">
        <f>Multiples!$C$52</f>
        <v>6.2149083769633506</v>
      </c>
      <c r="K117" s="9" t="s">
        <v>412</v>
      </c>
    </row>
    <row r="118" spans="1:11" x14ac:dyDescent="0.2">
      <c r="A118" s="3" t="s">
        <v>413</v>
      </c>
      <c r="B118" s="9" t="s">
        <v>56</v>
      </c>
      <c r="C118" s="2"/>
      <c r="D118" s="2"/>
      <c r="E118" s="2"/>
      <c r="F118" s="2"/>
      <c r="G118" s="2"/>
      <c r="H118" s="2"/>
      <c r="I118" s="2"/>
      <c r="J118" s="11">
        <f>ReverseDCF!$J$117*ReverseDCF!$J$103</f>
        <v>87079.551125353741</v>
      </c>
      <c r="K118" s="2"/>
    </row>
    <row r="119" spans="1:11" x14ac:dyDescent="0.2">
      <c r="A119" s="3" t="s">
        <v>414</v>
      </c>
      <c r="B119" s="9" t="s">
        <v>192</v>
      </c>
      <c r="C119" s="2"/>
      <c r="D119" s="2"/>
      <c r="E119" s="2"/>
      <c r="F119" s="2"/>
      <c r="G119" s="2"/>
      <c r="H119" s="2"/>
      <c r="I119" s="2"/>
      <c r="J119" s="30">
        <f>1/(1+WACC!$C$14)^6.5</f>
        <v>0.58830530726425412</v>
      </c>
      <c r="K119" s="2"/>
    </row>
    <row r="120" spans="1:11" x14ac:dyDescent="0.2">
      <c r="A120" s="3" t="s">
        <v>415</v>
      </c>
      <c r="B120" s="9" t="s">
        <v>56</v>
      </c>
      <c r="C120" s="2"/>
      <c r="D120" s="2"/>
      <c r="E120" s="2"/>
      <c r="F120" s="2"/>
      <c r="G120" s="2"/>
      <c r="H120" s="2"/>
      <c r="I120" s="2"/>
      <c r="J120" s="11">
        <f>ReverseDCF!$J$115+ReverseDCF!$J$116*ReverseDCF!$J$119</f>
        <v>48820.526063836696</v>
      </c>
      <c r="K120" s="2"/>
    </row>
    <row r="121" spans="1:11" x14ac:dyDescent="0.2">
      <c r="A121" s="3" t="s">
        <v>416</v>
      </c>
      <c r="B121" s="9" t="s">
        <v>56</v>
      </c>
      <c r="C121" s="2"/>
      <c r="D121" s="2"/>
      <c r="E121" s="2"/>
      <c r="F121" s="2"/>
      <c r="G121" s="2"/>
      <c r="H121" s="2"/>
      <c r="I121" s="2"/>
      <c r="J121" s="11">
        <f>ReverseDCF!$J$115+ReverseDCF!$J$118*ReverseDCF!$J$119</f>
        <v>49337.959368988959</v>
      </c>
      <c r="K121" s="2"/>
    </row>
    <row r="122" spans="1:11" x14ac:dyDescent="0.2">
      <c r="A122" s="3" t="s">
        <v>417</v>
      </c>
      <c r="B122" s="9" t="s">
        <v>150</v>
      </c>
      <c r="C122" s="2"/>
      <c r="D122" s="2"/>
      <c r="E122" s="2"/>
      <c r="F122" s="2"/>
      <c r="G122" s="2"/>
      <c r="H122" s="2"/>
      <c r="I122" s="2"/>
      <c r="J122" s="22">
        <f>ReverseDCF!$J$116*ReverseDCF!$J$119/ReverseDCF!$J$120</f>
        <v>1.0387419568107978</v>
      </c>
      <c r="K122" s="2"/>
    </row>
    <row r="123" spans="1:11" x14ac:dyDescent="0.2">
      <c r="A123" s="3" t="s">
        <v>418</v>
      </c>
      <c r="B123" s="9" t="s">
        <v>91</v>
      </c>
      <c r="C123" s="2"/>
      <c r="D123" s="2"/>
      <c r="E123" s="2"/>
      <c r="F123" s="2"/>
      <c r="G123" s="2"/>
      <c r="H123" s="2"/>
      <c r="I123" s="2"/>
      <c r="J123" s="16">
        <f>(ReverseDCF!$J$120-WACC!$C$15+Assumptions!$C$11)/Assumptions!$C$6</f>
        <v>100.17001244285576</v>
      </c>
      <c r="K123" s="2"/>
    </row>
    <row r="124" spans="1:11" x14ac:dyDescent="0.2">
      <c r="A124" s="3" t="s">
        <v>419</v>
      </c>
      <c r="B124" s="9" t="s">
        <v>91</v>
      </c>
      <c r="C124" s="2"/>
      <c r="D124" s="2"/>
      <c r="E124" s="2"/>
      <c r="F124" s="2"/>
      <c r="G124" s="2"/>
      <c r="H124" s="2"/>
      <c r="I124" s="2"/>
      <c r="J124" s="16">
        <f>(ReverseDCF!$J$121-WACC!$C$15+Assumptions!$C$11)/Assumptions!$C$6</f>
        <v>101.75431527553263</v>
      </c>
      <c r="K124" s="2"/>
    </row>
    <row r="125" spans="1:11" x14ac:dyDescent="0.2">
      <c r="A125" s="4" t="s">
        <v>420</v>
      </c>
      <c r="B125" s="9" t="s">
        <v>91</v>
      </c>
      <c r="C125" s="2"/>
      <c r="D125" s="2"/>
      <c r="E125" s="2"/>
      <c r="F125" s="2"/>
      <c r="G125" s="2"/>
      <c r="H125" s="2"/>
      <c r="I125" s="2"/>
      <c r="J125" s="31">
        <f>Assumptions!$C$13*ReverseDCF!$J$123+(1-Assumptions!$C$13)*ReverseDCF!$J$124</f>
        <v>100.96216385919419</v>
      </c>
      <c r="K125" s="2"/>
    </row>
    <row r="126" spans="1:11" x14ac:dyDescent="0.2">
      <c r="A126" s="3" t="s">
        <v>421</v>
      </c>
      <c r="B126" s="9" t="s">
        <v>192</v>
      </c>
      <c r="C126" s="2"/>
      <c r="D126" s="2"/>
      <c r="E126" s="2"/>
      <c r="F126" s="2"/>
      <c r="G126" s="2"/>
      <c r="H126" s="2"/>
      <c r="I126" s="2"/>
      <c r="J126" s="14">
        <f>ReverseDCF!$J$116/ReverseDCF!$J$103</f>
        <v>6.1521357705504229</v>
      </c>
      <c r="K126" s="2"/>
    </row>
    <row r="127" spans="1:1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2">
      <c r="A128" s="5" t="s">
        <v>431</v>
      </c>
      <c r="B128" s="5" t="s">
        <v>22</v>
      </c>
      <c r="C128" s="6" t="s">
        <v>388</v>
      </c>
      <c r="D128" s="6" t="s">
        <v>217</v>
      </c>
      <c r="E128" s="6" t="s">
        <v>218</v>
      </c>
      <c r="F128" s="6" t="s">
        <v>219</v>
      </c>
      <c r="G128" s="6" t="s">
        <v>220</v>
      </c>
      <c r="H128" s="6" t="s">
        <v>221</v>
      </c>
      <c r="I128" s="6" t="s">
        <v>222</v>
      </c>
      <c r="J128" s="6" t="s">
        <v>223</v>
      </c>
      <c r="K128" s="6" t="s">
        <v>33</v>
      </c>
    </row>
    <row r="129" spans="1:11" x14ac:dyDescent="0.2">
      <c r="A129" s="3" t="s">
        <v>142</v>
      </c>
      <c r="B129" s="9" t="s">
        <v>36</v>
      </c>
      <c r="C129" s="11">
        <f>Hist!$I$5</f>
        <v>330284</v>
      </c>
      <c r="D129" s="11">
        <f>ReverseDCF!$C$129*(1+Assumptions!$C$35)</f>
        <v>338541.1</v>
      </c>
      <c r="E129" s="11">
        <f>ReverseDCF!$D$129*(1+Assumptions!$D$35)</f>
        <v>352082.74400000001</v>
      </c>
      <c r="F129" s="11">
        <f>ReverseDCF!$E$129*(1+Assumptions!$E$35)</f>
        <v>369686.8812</v>
      </c>
      <c r="G129" s="11">
        <f>ReverseDCF!$F$129*(1+Assumptions!$F$35)</f>
        <v>388171.22526000004</v>
      </c>
      <c r="H129" s="11">
        <f>ReverseDCF!$G$129*(1+Assumptions!$G$35)</f>
        <v>405638.93039669999</v>
      </c>
      <c r="I129" s="11">
        <f>ReverseDCF!$H$129*(1+Assumptions!$H$35)</f>
        <v>421864.48761256802</v>
      </c>
      <c r="J129" s="11">
        <f>ReverseDCF!$I$129*(1+Assumptions!$I$35)</f>
        <v>436629.74467900785</v>
      </c>
      <c r="K129" s="2"/>
    </row>
    <row r="130" spans="1:11" x14ac:dyDescent="0.2">
      <c r="A130" s="3" t="s">
        <v>389</v>
      </c>
      <c r="B130" s="9" t="s">
        <v>167</v>
      </c>
      <c r="C130" s="16">
        <f>Metrics!$I$13</f>
        <v>14.118152862385099</v>
      </c>
      <c r="D130" s="16">
        <f>ReverseDCF!$C$130*(1+Assumptions!$C$15)</f>
        <v>13.976971333761247</v>
      </c>
      <c r="E130" s="16">
        <f>ReverseDCF!$D$130*(1+Assumptions!$D$15)</f>
        <v>13.837201620423635</v>
      </c>
      <c r="F130" s="16">
        <f>ReverseDCF!$E$130*(1+Assumptions!$E$15)</f>
        <v>13.698829604219398</v>
      </c>
      <c r="G130" s="16">
        <f>ReverseDCF!$F$130*(1+Assumptions!$F$15)</f>
        <v>13.561841308177204</v>
      </c>
      <c r="H130" s="16">
        <f>ReverseDCF!$G$130*(1+Assumptions!$G$15)</f>
        <v>13.426222895095432</v>
      </c>
      <c r="I130" s="16">
        <f>ReverseDCF!$H$130*(1+Assumptions!$H$15)</f>
        <v>13.291960666144478</v>
      </c>
      <c r="J130" s="16">
        <f>ReverseDCF!$I$130*(1+Assumptions!$I$15)</f>
        <v>13.159041059483032</v>
      </c>
      <c r="K130" s="2"/>
    </row>
    <row r="131" spans="1:11" x14ac:dyDescent="0.2">
      <c r="A131" s="3" t="s">
        <v>147</v>
      </c>
      <c r="B131" s="9" t="s">
        <v>148</v>
      </c>
      <c r="C131" s="16">
        <f>Hist!$I$9</f>
        <v>2.44</v>
      </c>
      <c r="D131" s="16">
        <f>Assumptions!$C$39</f>
        <v>3.97</v>
      </c>
      <c r="E131" s="16">
        <f>Assumptions!$D$39</f>
        <v>3.3</v>
      </c>
      <c r="F131" s="16">
        <f>Assumptions!$E$39</f>
        <v>3</v>
      </c>
      <c r="G131" s="16">
        <f>Assumptions!$F$39</f>
        <v>2.9</v>
      </c>
      <c r="H131" s="16">
        <f>Assumptions!$G$39</f>
        <v>2.9</v>
      </c>
      <c r="I131" s="16">
        <f>Assumptions!$H$39</f>
        <v>2.95</v>
      </c>
      <c r="J131" s="16">
        <f>Assumptions!$I$39</f>
        <v>3</v>
      </c>
      <c r="K131" s="2"/>
    </row>
    <row r="132" spans="1:11" x14ac:dyDescent="0.2">
      <c r="A132" s="3" t="s">
        <v>164</v>
      </c>
      <c r="B132" s="9" t="s">
        <v>42</v>
      </c>
      <c r="C132" s="16">
        <f>ReverseDCF!$C$130*ReverseDCF!$C$131/10</f>
        <v>3.4448292984219639</v>
      </c>
      <c r="D132" s="16">
        <f>ReverseDCF!$D$130*ReverseDCF!$D$131/10</f>
        <v>5.5488576195032149</v>
      </c>
      <c r="E132" s="16">
        <f>ReverseDCF!$E$130*ReverseDCF!$E$131/10</f>
        <v>4.5662765347397993</v>
      </c>
      <c r="F132" s="16">
        <f>ReverseDCF!$F$130*ReverseDCF!$F$131/10</f>
        <v>4.1096488812658194</v>
      </c>
      <c r="G132" s="16">
        <f>ReverseDCF!$G$130*ReverseDCF!$G$131/10</f>
        <v>3.9329339793713891</v>
      </c>
      <c r="H132" s="16">
        <f>ReverseDCF!$H$130*ReverseDCF!$H$131/10</f>
        <v>3.8936046395776751</v>
      </c>
      <c r="I132" s="16">
        <f>ReverseDCF!$I$130*ReverseDCF!$I$131/10</f>
        <v>3.9211283965126214</v>
      </c>
      <c r="J132" s="16">
        <f>ReverseDCF!$J$130*ReverseDCF!$J$131/10</f>
        <v>3.9477123178449096</v>
      </c>
      <c r="K132" s="2"/>
    </row>
    <row r="133" spans="1:11" x14ac:dyDescent="0.2">
      <c r="A133" s="3" t="s">
        <v>390</v>
      </c>
      <c r="B133" s="9" t="s">
        <v>42</v>
      </c>
      <c r="C133" s="16">
        <f>Metrics!$I$8</f>
        <v>17.884608397621442</v>
      </c>
      <c r="D133" s="16">
        <f>ReverseDCF!$C$133*(1+Assumptions!$C$36)+Assumptions!$C$37*(ReverseDCF!$D$132-ReverseDCF!$C$132)</f>
        <v>20.014946264426978</v>
      </c>
      <c r="E133" s="16">
        <f>ReverseDCF!$D$133*(1+Assumptions!$D$36+ReverseDCF!$G$4)+Assumptions!$D$37*(ReverseDCF!$E$132-ReverseDCF!$D$132)</f>
        <v>19.77838410746509</v>
      </c>
      <c r="F133" s="16">
        <f>ReverseDCF!$E$133*(1+Assumptions!$E$36+ReverseDCF!$G$4)+Assumptions!$E$37*(ReverseDCF!$F$132-ReverseDCF!$E$132)</f>
        <v>19.915107977215058</v>
      </c>
      <c r="G133" s="16">
        <f>ReverseDCF!$F$133*(1+Assumptions!$F$36+ReverseDCF!$G$4)+Assumptions!$F$37*(ReverseDCF!$G$132-ReverseDCF!$F$132)</f>
        <v>20.335846314637074</v>
      </c>
      <c r="H133" s="16">
        <f>ReverseDCF!$G$133*(1+Assumptions!$G$36+ReverseDCF!$G$4)+Assumptions!$G$37*(ReverseDCF!$H$132-ReverseDCF!$G$132)</f>
        <v>20.906592364282467</v>
      </c>
      <c r="I133" s="16">
        <f>ReverseDCF!$H$133*(1+Assumptions!$H$36+ReverseDCF!$G$4)+Assumptions!$H$37*(ReverseDCF!$I$132-ReverseDCF!$H$132)</f>
        <v>21.561313892145883</v>
      </c>
      <c r="J133" s="16">
        <f>ReverseDCF!$I$133*(1+Assumptions!$I$36+ReverseDCF!$G$4)+Assumptions!$I$37*(ReverseDCF!$J$132-ReverseDCF!$I$132)</f>
        <v>22.234737230242544</v>
      </c>
      <c r="K133" s="2"/>
    </row>
    <row r="134" spans="1:11" x14ac:dyDescent="0.2">
      <c r="A134" s="4" t="s">
        <v>144</v>
      </c>
      <c r="B134" s="9" t="s">
        <v>56</v>
      </c>
      <c r="C134" s="15">
        <f>Hist!$I$19</f>
        <v>59070</v>
      </c>
      <c r="D134" s="15">
        <f>ReverseDCF!$D$129*ReverseDCF!$D$133/100</f>
        <v>67758.819247999985</v>
      </c>
      <c r="E134" s="15">
        <f>ReverseDCF!$E$129*ReverseDCF!$E$133/100</f>
        <v>69636.277484423001</v>
      </c>
      <c r="F134" s="15">
        <f>ReverseDCF!$F$129*ReverseDCF!$F$133/100</f>
        <v>73623.541568578745</v>
      </c>
      <c r="G134" s="15">
        <f>ReverseDCF!$G$129*ReverseDCF!$G$133/100</f>
        <v>78937.903806517294</v>
      </c>
      <c r="H134" s="15">
        <f>ReverseDCF!$H$129*ReverseDCF!$H$133/100</f>
        <v>84805.277648873554</v>
      </c>
      <c r="I134" s="15">
        <f>ReverseDCF!$I$129*ReverseDCF!$I$133/100</f>
        <v>90959.526373638684</v>
      </c>
      <c r="J134" s="15">
        <f>ReverseDCF!$J$129*ReverseDCF!$J$133/100</f>
        <v>97083.476398456318</v>
      </c>
      <c r="K134" s="2"/>
    </row>
    <row r="135" spans="1:11" x14ac:dyDescent="0.2">
      <c r="A135" s="3" t="s">
        <v>146</v>
      </c>
      <c r="B135" s="9" t="s">
        <v>42</v>
      </c>
      <c r="C135" s="16">
        <f>Metrics!$I$10</f>
        <v>12.64</v>
      </c>
      <c r="D135" s="16">
        <f>ReverseDCF!$C$135*(1+Assumptions!$C$38)</f>
        <v>13.3352</v>
      </c>
      <c r="E135" s="16">
        <f>ReverseDCF!$D$135*(1+Assumptions!$D$38)</f>
        <v>13.668579999999999</v>
      </c>
      <c r="F135" s="16">
        <f>ReverseDCF!$E$135*(1+Assumptions!$E$38)</f>
        <v>13.941951599999999</v>
      </c>
      <c r="G135" s="16">
        <f>ReverseDCF!$F$135*(1+Assumptions!$F$38)</f>
        <v>14.262616486799999</v>
      </c>
      <c r="H135" s="16">
        <f>ReverseDCF!$G$135*(1+Assumptions!$G$38)</f>
        <v>14.647707131943598</v>
      </c>
      <c r="I135" s="16">
        <f>ReverseDCF!$H$135*(1+Assumptions!$H$38)</f>
        <v>15.043195224506073</v>
      </c>
      <c r="J135" s="16">
        <f>ReverseDCF!$I$135*(1+Assumptions!$I$38)</f>
        <v>15.449361495567736</v>
      </c>
      <c r="K135" s="2"/>
    </row>
    <row r="136" spans="1:11" x14ac:dyDescent="0.2">
      <c r="A136" s="3" t="s">
        <v>391</v>
      </c>
      <c r="B136" s="9" t="s">
        <v>56</v>
      </c>
      <c r="C136" s="2"/>
      <c r="D136" s="11">
        <f>ReverseDCF!$D$129*ReverseDCF!$D$135/100</f>
        <v>45145.132767199997</v>
      </c>
      <c r="E136" s="11">
        <f>ReverseDCF!$E$129*ReverseDCF!$E$135/100</f>
        <v>48124.711529835193</v>
      </c>
      <c r="F136" s="11">
        <f>ReverseDCF!$F$129*ReverseDCF!$F$135/100</f>
        <v>51541.566048453496</v>
      </c>
      <c r="G136" s="11">
        <f>ReverseDCF!$G$129*ReverseDCF!$G$135/100</f>
        <v>55363.373170946325</v>
      </c>
      <c r="H136" s="11">
        <f>ReverseDCF!$H$129*ReverseDCF!$H$135/100</f>
        <v>59416.802537657153</v>
      </c>
      <c r="I136" s="11">
        <f>ReverseDCF!$I$129*ReverseDCF!$I$135/100</f>
        <v>63461.898454420843</v>
      </c>
      <c r="J136" s="11">
        <f>ReverseDCF!$J$129*ReverseDCF!$J$135/100</f>
        <v>67456.507652634347</v>
      </c>
      <c r="K136" s="2"/>
    </row>
    <row r="137" spans="1:11" x14ac:dyDescent="0.2">
      <c r="A137" s="3" t="s">
        <v>392</v>
      </c>
      <c r="B137" s="9" t="s">
        <v>56</v>
      </c>
      <c r="C137" s="2"/>
      <c r="D137" s="11">
        <f>ReverseDCF!$D$129*ReverseDCF!$D$132/100</f>
        <v>18785.163622499997</v>
      </c>
      <c r="E137" s="11">
        <f>ReverseDCF!$E$129*ReverseDCF!$E$132/100</f>
        <v>16077.071722139997</v>
      </c>
      <c r="F137" s="11">
        <f>ReverseDCF!$F$129*ReverseDCF!$F$132/100</f>
        <v>15192.832777422298</v>
      </c>
      <c r="G137" s="11">
        <f>ReverseDCF!$G$129*ReverseDCF!$G$132/100</f>
        <v>15266.518016392798</v>
      </c>
      <c r="H137" s="11">
        <f>ReverseDCF!$H$129*ReverseDCF!$H$132/100</f>
        <v>15793.976213859167</v>
      </c>
      <c r="I137" s="11">
        <f>ReverseDCF!$I$129*ReverseDCF!$I$132/100</f>
        <v>16541.848218578874</v>
      </c>
      <c r="J137" s="11">
        <f>ReverseDCF!$J$129*ReverseDCF!$J$132/100</f>
        <v>17236.88621406797</v>
      </c>
      <c r="K137" s="2"/>
    </row>
    <row r="138" spans="1:11" x14ac:dyDescent="0.2">
      <c r="A138" s="3" t="s">
        <v>393</v>
      </c>
      <c r="B138" s="9" t="s">
        <v>56</v>
      </c>
      <c r="C138" s="2"/>
      <c r="D138" s="11">
        <f>ReverseDCF!$D$134*Assumptions!$C$16</f>
        <v>304.91468661599993</v>
      </c>
      <c r="E138" s="11">
        <f>ReverseDCF!$E$134*Assumptions!$D$16</f>
        <v>313.36324867990351</v>
      </c>
      <c r="F138" s="11">
        <f>ReverseDCF!$F$134*Assumptions!$E$16</f>
        <v>331.30593705860434</v>
      </c>
      <c r="G138" s="11">
        <f>ReverseDCF!$G$134*Assumptions!$F$16</f>
        <v>355.22056712932778</v>
      </c>
      <c r="H138" s="11">
        <f>ReverseDCF!$H$134*Assumptions!$G$16</f>
        <v>381.62374941993096</v>
      </c>
      <c r="I138" s="11">
        <f>ReverseDCF!$I$134*Assumptions!$H$16</f>
        <v>409.31786868137402</v>
      </c>
      <c r="J138" s="11">
        <f>ReverseDCF!$J$134*Assumptions!$I$16</f>
        <v>436.87564379305337</v>
      </c>
      <c r="K138" s="2"/>
    </row>
    <row r="139" spans="1:11" x14ac:dyDescent="0.2">
      <c r="A139" s="3" t="s">
        <v>394</v>
      </c>
      <c r="B139" s="9" t="s">
        <v>56</v>
      </c>
      <c r="C139" s="2"/>
      <c r="D139" s="11">
        <f>ReverseDCF!$D$134-ReverseDCF!$D$136-ReverseDCF!$D$137-ReverseDCF!$D$138</f>
        <v>3523.6081716839917</v>
      </c>
      <c r="E139" s="11">
        <f>ReverseDCF!$E$134-ReverseDCF!$E$136-ReverseDCF!$E$137-ReverseDCF!$E$138</f>
        <v>5121.1309837679073</v>
      </c>
      <c r="F139" s="11">
        <f>ReverseDCF!$F$134-ReverseDCF!$F$136-ReverseDCF!$F$137-ReverseDCF!$F$138</f>
        <v>6557.836805644346</v>
      </c>
      <c r="G139" s="11">
        <f>ReverseDCF!$G$134-ReverseDCF!$G$136-ReverseDCF!$G$137-ReverseDCF!$G$138</f>
        <v>7952.7920520488433</v>
      </c>
      <c r="H139" s="11">
        <f>ReverseDCF!$H$134-ReverseDCF!$H$136-ReverseDCF!$H$137-ReverseDCF!$H$138</f>
        <v>9212.8751479373041</v>
      </c>
      <c r="I139" s="11">
        <f>ReverseDCF!$I$134-ReverseDCF!$I$136-ReverseDCF!$I$137-ReverseDCF!$I$138</f>
        <v>10546.461831957593</v>
      </c>
      <c r="J139" s="11">
        <f>ReverseDCF!$J$134-ReverseDCF!$J$136-ReverseDCF!$J$137-ReverseDCF!$J$138</f>
        <v>11953.206887960947</v>
      </c>
      <c r="K139" s="2"/>
    </row>
    <row r="140" spans="1:11" x14ac:dyDescent="0.2">
      <c r="A140" s="3" t="s">
        <v>250</v>
      </c>
      <c r="B140" s="9" t="s">
        <v>56</v>
      </c>
      <c r="C140" s="2"/>
      <c r="D140" s="11">
        <f>MAX(0,ReverseDCF!$D$139)*Assumptions!$C$17</f>
        <v>422.83298060207898</v>
      </c>
      <c r="E140" s="11">
        <f>MAX(0,ReverseDCF!$E$139)*Assumptions!$D$17</f>
        <v>614.53571805214881</v>
      </c>
      <c r="F140" s="11">
        <f>MAX(0,ReverseDCF!$F$139)*Assumptions!$E$17</f>
        <v>786.94041667732154</v>
      </c>
      <c r="G140" s="11">
        <f>MAX(0,ReverseDCF!$G$139)*Assumptions!$F$17</f>
        <v>954.33504624586112</v>
      </c>
      <c r="H140" s="11">
        <f>MAX(0,ReverseDCF!$H$139)*Assumptions!$G$17</f>
        <v>1105.5450177524765</v>
      </c>
      <c r="I140" s="11">
        <f>MAX(0,ReverseDCF!$I$139)*Assumptions!$H$17</f>
        <v>1265.5754198349111</v>
      </c>
      <c r="J140" s="11">
        <f>MAX(0,ReverseDCF!$J$139)*Assumptions!$I$17</f>
        <v>1434.3848265553136</v>
      </c>
      <c r="K140" s="2"/>
    </row>
    <row r="141" spans="1:11" x14ac:dyDescent="0.2">
      <c r="A141" s="4" t="s">
        <v>395</v>
      </c>
      <c r="B141" s="9" t="s">
        <v>56</v>
      </c>
      <c r="C141" s="15">
        <f>Hist!$I$31</f>
        <v>4972</v>
      </c>
      <c r="D141" s="15">
        <f>ReverseDCF!$D$139-ReverseDCF!$D$140</f>
        <v>3100.7751910819129</v>
      </c>
      <c r="E141" s="15">
        <f>ReverseDCF!$E$139-ReverseDCF!$E$140</f>
        <v>4506.5952657157586</v>
      </c>
      <c r="F141" s="15">
        <f>ReverseDCF!$F$139-ReverseDCF!$F$140</f>
        <v>5770.8963889670249</v>
      </c>
      <c r="G141" s="15">
        <f>ReverseDCF!$G$139-ReverseDCF!$G$140</f>
        <v>6998.4570058029822</v>
      </c>
      <c r="H141" s="15">
        <f>ReverseDCF!$H$139-ReverseDCF!$H$140</f>
        <v>8107.3301301848278</v>
      </c>
      <c r="I141" s="15">
        <f>ReverseDCF!$I$139-ReverseDCF!$I$140</f>
        <v>9280.8864121226816</v>
      </c>
      <c r="J141" s="15">
        <f>ReverseDCF!$J$139-ReverseDCF!$J$140</f>
        <v>10518.822061405634</v>
      </c>
      <c r="K141" s="2"/>
    </row>
    <row r="142" spans="1:11" x14ac:dyDescent="0.2">
      <c r="A142" s="3" t="s">
        <v>149</v>
      </c>
      <c r="B142" s="9" t="s">
        <v>150</v>
      </c>
      <c r="C142" s="19">
        <f>ReverseDCF!$C$141/ReverseDCF!$C$134</f>
        <v>8.417132216014897E-2</v>
      </c>
      <c r="D142" s="19">
        <f>ReverseDCF!$D$141/ReverseDCF!$D$134</f>
        <v>4.5761942511615382E-2</v>
      </c>
      <c r="E142" s="19">
        <f>ReverseDCF!$E$141/ReverseDCF!$E$134</f>
        <v>6.4716200068618585E-2</v>
      </c>
      <c r="F142" s="19">
        <f>ReverseDCF!$F$141/ReverseDCF!$F$134</f>
        <v>7.8383846606884008E-2</v>
      </c>
      <c r="G142" s="19">
        <f>ReverseDCF!$G$141/ReverseDCF!$G$134</f>
        <v>8.8657750818373945E-2</v>
      </c>
      <c r="H142" s="19">
        <f>ReverseDCF!$H$141/ReverseDCF!$H$134</f>
        <v>9.5599358376636537E-2</v>
      </c>
      <c r="I142" s="19">
        <f>ReverseDCF!$I$141/ReverseDCF!$I$134</f>
        <v>0.10203314355441069</v>
      </c>
      <c r="J142" s="19">
        <f>ReverseDCF!$J$141/ReverseDCF!$J$134</f>
        <v>0.10834822208295879</v>
      </c>
      <c r="K142" s="2"/>
    </row>
    <row r="143" spans="1:11" x14ac:dyDescent="0.2">
      <c r="A143" s="3" t="s">
        <v>253</v>
      </c>
      <c r="B143" s="9" t="s">
        <v>56</v>
      </c>
      <c r="C143" s="11">
        <f>Hist!$I$26</f>
        <v>2939</v>
      </c>
      <c r="D143" s="11">
        <f>ReverseDCF!$D$134*Assumptions!$C$18</f>
        <v>3252.4233239039995</v>
      </c>
      <c r="E143" s="11">
        <f>ReverseDCF!$E$134*Assumptions!$D$18</f>
        <v>3342.5413192523042</v>
      </c>
      <c r="F143" s="11">
        <f>ReverseDCF!$F$134*Assumptions!$E$18</f>
        <v>3533.92999529178</v>
      </c>
      <c r="G143" s="11">
        <f>ReverseDCF!$G$134*Assumptions!$F$18</f>
        <v>3789.0193827128301</v>
      </c>
      <c r="H143" s="11">
        <f>ReverseDCF!$H$134*Assumptions!$G$18</f>
        <v>4070.6533271459307</v>
      </c>
      <c r="I143" s="11">
        <f>ReverseDCF!$I$134*Assumptions!$H$18</f>
        <v>4366.0572659346572</v>
      </c>
      <c r="J143" s="11">
        <f>ReverseDCF!$J$134*Assumptions!$I$18</f>
        <v>4660.0068671259032</v>
      </c>
      <c r="K143" s="2"/>
    </row>
    <row r="144" spans="1:11" x14ac:dyDescent="0.2">
      <c r="A144" s="3" t="s">
        <v>396</v>
      </c>
      <c r="B144" s="9" t="s">
        <v>56</v>
      </c>
      <c r="C144" s="11">
        <f>Metrics!$I$31</f>
        <v>8970</v>
      </c>
      <c r="D144" s="11">
        <f>ReverseDCF!$D$141+ReverseDCF!$D$143+ReverseDCF!$D$134*Assumptions!$C$19</f>
        <v>7403.4602133299122</v>
      </c>
      <c r="E144" s="11">
        <f>ReverseDCF!$E$141+ReverseDCF!$E$143+ReverseDCF!$E$134*Assumptions!$D$19</f>
        <v>8928.4988859766181</v>
      </c>
      <c r="F144" s="11">
        <f>ReverseDCF!$F$141+ReverseDCF!$F$143+ReverseDCF!$F$134*Assumptions!$E$19</f>
        <v>10445.991278571777</v>
      </c>
      <c r="G144" s="11">
        <f>ReverseDCF!$G$141+ReverseDCF!$G$143+ReverseDCF!$G$134*Assumptions!$F$19</f>
        <v>12011.01389751683</v>
      </c>
      <c r="H144" s="11">
        <f>ReverseDCF!$H$141+ReverseDCF!$H$143+ReverseDCF!$H$134*Assumptions!$G$19</f>
        <v>13492.465260888299</v>
      </c>
      <c r="I144" s="11">
        <f>ReverseDCF!$I$141+ReverseDCF!$I$143+ReverseDCF!$I$134*Assumptions!$H$19</f>
        <v>15056.816336848737</v>
      </c>
      <c r="J144" s="11">
        <f>ReverseDCF!$J$141+ReverseDCF!$J$143+ReverseDCF!$J$134*Assumptions!$I$19</f>
        <v>16683.62281270761</v>
      </c>
      <c r="K144" s="2"/>
    </row>
    <row r="145" spans="1:11" x14ac:dyDescent="0.2">
      <c r="A145" s="3" t="s">
        <v>397</v>
      </c>
      <c r="B145" s="9" t="s">
        <v>56</v>
      </c>
      <c r="C145" s="2"/>
      <c r="D145" s="11">
        <f>Hist!$K$51</f>
        <v>7204</v>
      </c>
      <c r="E145" s="11">
        <f>ReverseDCF!$D$145*(1+Assumptions!$D$35)</f>
        <v>7492.16</v>
      </c>
      <c r="F145" s="11">
        <f>ReverseDCF!$E$145*(1+Assumptions!$E$35)</f>
        <v>7866.768</v>
      </c>
      <c r="G145" s="11">
        <f>ReverseDCF!$F$145*(1+Assumptions!$F$35)</f>
        <v>8260.1064000000006</v>
      </c>
      <c r="H145" s="11">
        <f>ReverseDCF!$G$145*(1+Assumptions!$G$35)</f>
        <v>8631.8111879999997</v>
      </c>
      <c r="I145" s="11">
        <f>ReverseDCF!$H$145*(1+Assumptions!$H$35)</f>
        <v>8977.0836355200008</v>
      </c>
      <c r="J145" s="11">
        <f>ReverseDCF!$I$145*(1+Assumptions!$I$35)</f>
        <v>9291.2815627632008</v>
      </c>
      <c r="K145" s="2"/>
    </row>
    <row r="146" spans="1:11" x14ac:dyDescent="0.2">
      <c r="A146" s="3" t="s">
        <v>398</v>
      </c>
      <c r="B146" s="9" t="s">
        <v>56</v>
      </c>
      <c r="C146" s="2"/>
      <c r="D146" s="11">
        <f>ReverseDCF!$D$145*Assumptions!$C$20</f>
        <v>468.26</v>
      </c>
      <c r="E146" s="11">
        <f>ReverseDCF!$E$145*Assumptions!$C$20</f>
        <v>486.99040000000002</v>
      </c>
      <c r="F146" s="11">
        <f>ReverseDCF!$F$145*Assumptions!$C$20</f>
        <v>511.33992000000001</v>
      </c>
      <c r="G146" s="11">
        <f>ReverseDCF!$G$145*Assumptions!$C$20</f>
        <v>536.90691600000002</v>
      </c>
      <c r="H146" s="11">
        <f>ReverseDCF!$H$145*Assumptions!$C$20</f>
        <v>561.06772722000005</v>
      </c>
      <c r="I146" s="11">
        <f>ReverseDCF!$I$145*Assumptions!$C$20</f>
        <v>583.51043630880008</v>
      </c>
      <c r="J146" s="11">
        <f>ReverseDCF!$J$145*Assumptions!$C$20</f>
        <v>603.93330157960804</v>
      </c>
      <c r="K146" s="2"/>
    </row>
    <row r="147" spans="1:11" x14ac:dyDescent="0.2">
      <c r="A147" s="3" t="s">
        <v>399</v>
      </c>
      <c r="B147" s="9" t="s">
        <v>56</v>
      </c>
      <c r="C147" s="2"/>
      <c r="D147" s="11">
        <f>(ReverseDCF!$D$141+ReverseDCF!$D$146)*(1-Assumptions!$C$10)</f>
        <v>2783.8474490438921</v>
      </c>
      <c r="E147" s="11">
        <f>(ReverseDCF!$E$141+ReverseDCF!$E$146)*(1-Assumptions!$C$10)</f>
        <v>3894.9968192582915</v>
      </c>
      <c r="F147" s="11">
        <f>(ReverseDCF!$F$141+ReverseDCF!$F$146)*(1-Assumptions!$C$10)</f>
        <v>4900.14432099428</v>
      </c>
      <c r="G147" s="11">
        <f>(ReverseDCF!$G$141+ReverseDCF!$G$146)*(1-Assumptions!$C$10)</f>
        <v>5877.5838590063258</v>
      </c>
      <c r="H147" s="11">
        <f>(ReverseDCF!$H$141+ReverseDCF!$H$146)*(1-Assumptions!$C$10)</f>
        <v>6761.3503287757649</v>
      </c>
      <c r="I147" s="11">
        <f>(ReverseDCF!$I$141+ReverseDCF!$I$146)*(1-Assumptions!$C$10)</f>
        <v>7694.2295417765554</v>
      </c>
      <c r="J147" s="11">
        <f>(ReverseDCF!$J$141+ReverseDCF!$J$146)*(1-Assumptions!$C$10)</f>
        <v>8675.7491831284879</v>
      </c>
      <c r="K147" s="2"/>
    </row>
    <row r="148" spans="1:11" x14ac:dyDescent="0.2">
      <c r="A148" s="3" t="s">
        <v>278</v>
      </c>
      <c r="B148" s="9" t="s">
        <v>56</v>
      </c>
      <c r="C148" s="2"/>
      <c r="D148" s="11">
        <f>Assumptions!$C$23</f>
        <v>7500</v>
      </c>
      <c r="E148" s="11">
        <f>ReverseDCF!$E$134*Assumptions!$D$40</f>
        <v>8008.1719107086456</v>
      </c>
      <c r="F148" s="11">
        <f>ReverseDCF!$F$134*Assumptions!$E$40</f>
        <v>8834.8249882294494</v>
      </c>
      <c r="G148" s="11">
        <f>ReverseDCF!$G$134*Assumptions!$F$40</f>
        <v>9472.5484567820749</v>
      </c>
      <c r="H148" s="11">
        <f>ReverseDCF!$H$134*Assumptions!$G$40</f>
        <v>9328.5805413760918</v>
      </c>
      <c r="I148" s="11">
        <f>ReverseDCF!$I$134*Assumptions!$H$40</f>
        <v>9550.7502692320613</v>
      </c>
      <c r="J148" s="11">
        <f>ReverseDCF!$J$134*Assumptions!$I$40</f>
        <v>9708.3476398456314</v>
      </c>
      <c r="K148" s="2"/>
    </row>
    <row r="149" spans="1:11" x14ac:dyDescent="0.2">
      <c r="A149" s="3" t="s">
        <v>400</v>
      </c>
      <c r="B149" s="9" t="s">
        <v>56</v>
      </c>
      <c r="C149" s="2"/>
      <c r="D149" s="11">
        <f>(ReverseDCF!$D$134-ReverseDCF!$C$134)*Assumptions!$C$21</f>
        <v>868.88192479999861</v>
      </c>
      <c r="E149" s="11">
        <f>(ReverseDCF!$E$134-ReverseDCF!$D$134)*Assumptions!$D$21</f>
        <v>187.74582364230156</v>
      </c>
      <c r="F149" s="11">
        <f>(ReverseDCF!$F$134-ReverseDCF!$E$134)*Assumptions!$E$21</f>
        <v>398.72640841557444</v>
      </c>
      <c r="G149" s="11">
        <f>(ReverseDCF!$G$134-ReverseDCF!$F$134)*Assumptions!$F$21</f>
        <v>531.43622379385488</v>
      </c>
      <c r="H149" s="11">
        <f>(ReverseDCF!$H$134-ReverseDCF!$G$134)*Assumptions!$G$21</f>
        <v>586.73738423562611</v>
      </c>
      <c r="I149" s="11">
        <f>(ReverseDCF!$I$134-ReverseDCF!$H$134)*Assumptions!$H$21</f>
        <v>615.42487247651297</v>
      </c>
      <c r="J149" s="11">
        <f>(ReverseDCF!$J$134-ReverseDCF!$I$134)*Assumptions!$I$21</f>
        <v>612.39500248176341</v>
      </c>
      <c r="K149" s="2"/>
    </row>
    <row r="150" spans="1:11" x14ac:dyDescent="0.2">
      <c r="A150" s="4" t="s">
        <v>401</v>
      </c>
      <c r="B150" s="9" t="s">
        <v>56</v>
      </c>
      <c r="C150" s="2"/>
      <c r="D150" s="15">
        <f>ReverseDCF!$D$147+ReverseDCF!$D$143-ReverseDCF!$D$148+ReverseDCF!$D$149</f>
        <v>-594.84730225210978</v>
      </c>
      <c r="E150" s="15">
        <f>ReverseDCF!$E$147+ReverseDCF!$E$143-ReverseDCF!$E$148+ReverseDCF!$E$149</f>
        <v>-582.88794855574838</v>
      </c>
      <c r="F150" s="15">
        <f>ReverseDCF!$F$147+ReverseDCF!$F$143-ReverseDCF!$F$148+ReverseDCF!$F$149</f>
        <v>-2.0242635278150942</v>
      </c>
      <c r="G150" s="15">
        <f>ReverseDCF!$G$147+ReverseDCF!$G$143-ReverseDCF!$G$148+ReverseDCF!$G$149</f>
        <v>725.4910087309363</v>
      </c>
      <c r="H150" s="15">
        <f>ReverseDCF!$H$147+ReverseDCF!$H$143-ReverseDCF!$H$148+ReverseDCF!$H$149</f>
        <v>2090.1604987812293</v>
      </c>
      <c r="I150" s="15">
        <f>ReverseDCF!$I$147+ReverseDCF!$I$143-ReverseDCF!$I$148+ReverseDCF!$I$149</f>
        <v>3124.9614109556642</v>
      </c>
      <c r="J150" s="15">
        <f>ReverseDCF!$J$147+ReverseDCF!$J$143-ReverseDCF!$J$148+ReverseDCF!$J$149</f>
        <v>4239.8034128905228</v>
      </c>
      <c r="K150" s="2"/>
    </row>
    <row r="151" spans="1:11" x14ac:dyDescent="0.2">
      <c r="A151" s="3" t="s">
        <v>402</v>
      </c>
      <c r="B151" s="9" t="s">
        <v>56</v>
      </c>
      <c r="C151" s="2"/>
      <c r="D151" s="11">
        <f>ReverseDCF!$D$150-Assumptions!$C$12</f>
        <v>-4032.7873022521098</v>
      </c>
      <c r="E151" s="11">
        <f>ReverseDCF!$E$150</f>
        <v>-582.88794855574838</v>
      </c>
      <c r="F151" s="11">
        <f>ReverseDCF!$F$150</f>
        <v>-2.0242635278150942</v>
      </c>
      <c r="G151" s="11">
        <f>ReverseDCF!$G$150</f>
        <v>725.4910087309363</v>
      </c>
      <c r="H151" s="11">
        <f>ReverseDCF!$H$150</f>
        <v>2090.1604987812293</v>
      </c>
      <c r="I151" s="11">
        <f>ReverseDCF!$I$150</f>
        <v>3124.9614109556642</v>
      </c>
      <c r="J151" s="11">
        <f>ReverseDCF!$J$150</f>
        <v>4239.8034128905228</v>
      </c>
      <c r="K151" s="2"/>
    </row>
    <row r="152" spans="1:11" x14ac:dyDescent="0.2">
      <c r="A152" s="3" t="s">
        <v>403</v>
      </c>
      <c r="B152" s="9" t="s">
        <v>404</v>
      </c>
      <c r="C152" s="2"/>
      <c r="D152" s="12">
        <v>0.25</v>
      </c>
      <c r="E152" s="12">
        <v>1</v>
      </c>
      <c r="F152" s="12">
        <v>2</v>
      </c>
      <c r="G152" s="12">
        <v>3</v>
      </c>
      <c r="H152" s="12">
        <v>4</v>
      </c>
      <c r="I152" s="12">
        <v>5</v>
      </c>
      <c r="J152" s="12">
        <v>6</v>
      </c>
      <c r="K152" s="9" t="s">
        <v>405</v>
      </c>
    </row>
    <row r="153" spans="1:11" x14ac:dyDescent="0.2">
      <c r="A153" s="3" t="s">
        <v>406</v>
      </c>
      <c r="B153" s="9" t="s">
        <v>192</v>
      </c>
      <c r="C153" s="2"/>
      <c r="D153" s="30">
        <f>1/(1+WACC!$C$14)^ReverseDCF!$D$152</f>
        <v>0.97980255571454589</v>
      </c>
      <c r="E153" s="30">
        <f>1/(1+WACC!$C$14)^ReverseDCF!$E$152</f>
        <v>0.92162505268498662</v>
      </c>
      <c r="F153" s="30">
        <f>1/(1+WACC!$C$14)^ReverseDCF!$F$152</f>
        <v>0.8493927377366044</v>
      </c>
      <c r="G153" s="30">
        <f>1/(1+WACC!$C$14)^ReverseDCF!$G$152</f>
        <v>0.78282162666674304</v>
      </c>
      <c r="H153" s="30">
        <f>1/(1+WACC!$C$14)^ReverseDCF!$H$152</f>
        <v>0.72146802291968404</v>
      </c>
      <c r="I153" s="30">
        <f>1/(1+WACC!$C$14)^ReverseDCF!$I$152</f>
        <v>0.66492300463388687</v>
      </c>
      <c r="J153" s="30">
        <f>1/(1+WACC!$C$14)^ReverseDCF!$J$152</f>
        <v>0.61280969917716566</v>
      </c>
      <c r="K153" s="2"/>
    </row>
    <row r="154" spans="1:11" x14ac:dyDescent="0.2">
      <c r="A154" s="3" t="s">
        <v>407</v>
      </c>
      <c r="B154" s="9" t="s">
        <v>56</v>
      </c>
      <c r="C154" s="2"/>
      <c r="D154" s="11">
        <f>ReverseDCF!$D$151*ReverseDCF!$D$153</f>
        <v>-3951.3353053997862</v>
      </c>
      <c r="E154" s="11">
        <f>ReverseDCF!$E$151*ReverseDCF!$E$153</f>
        <v>-537.20413629713539</v>
      </c>
      <c r="F154" s="11">
        <f>ReverseDCF!$F$151*ReverseDCF!$F$153</f>
        <v>-1.7193947397912199</v>
      </c>
      <c r="G154" s="11">
        <f>ReverseDCF!$G$151*ReverseDCF!$G$153</f>
        <v>567.93005158684787</v>
      </c>
      <c r="H154" s="11">
        <f>ReverseDCF!$H$151*ReverseDCF!$H$153</f>
        <v>1507.9839626405142</v>
      </c>
      <c r="I154" s="11">
        <f>ReverseDCF!$I$151*ReverseDCF!$I$153</f>
        <v>2077.8587307375906</v>
      </c>
      <c r="J154" s="11">
        <f>ReverseDCF!$J$151*ReverseDCF!$J$153</f>
        <v>2598.1926540237614</v>
      </c>
      <c r="K154" s="2"/>
    </row>
    <row r="155" spans="1:11" x14ac:dyDescent="0.2">
      <c r="A155" s="3" t="s">
        <v>408</v>
      </c>
      <c r="B155" s="9" t="s">
        <v>91</v>
      </c>
      <c r="C155" s="2"/>
      <c r="D155" s="16">
        <f>(ReverseDCF!$D$141-Assumptions!$C$22)*(1-Assumptions!$C$10)/Assumptions!$C$6</f>
        <v>6.0918697153824004</v>
      </c>
      <c r="E155" s="16">
        <f>(ReverseDCF!$E$141-Assumptions!$D$22)*(1-Assumptions!$C$10)/Assumptions!$C$6</f>
        <v>9.4493089628239186</v>
      </c>
      <c r="F155" s="16">
        <f>(ReverseDCF!$F$141-Assumptions!$E$22)*(1-Assumptions!$C$10)/Assumptions!$C$6</f>
        <v>12.468766636234781</v>
      </c>
      <c r="G155" s="16">
        <f>(ReverseDCF!$G$141-Assumptions!$F$22)*(1-Assumptions!$C$10)/Assumptions!$C$6</f>
        <v>15.400479070809327</v>
      </c>
      <c r="H155" s="16">
        <f>(ReverseDCF!$H$141-Assumptions!$G$22)*(1-Assumptions!$C$10)/Assumptions!$C$6</f>
        <v>18.048736991868235</v>
      </c>
      <c r="I155" s="16">
        <f>(ReverseDCF!$I$141-Assumptions!$H$22)*(1-Assumptions!$C$10)/Assumptions!$C$6</f>
        <v>20.851473978737573</v>
      </c>
      <c r="J155" s="16">
        <f>(ReverseDCF!$J$141-Assumptions!$I$22)*(1-Assumptions!$C$10)/Assumptions!$C$6</f>
        <v>23.807964506725028</v>
      </c>
      <c r="K155" s="2"/>
    </row>
    <row r="156" spans="1:11" x14ac:dyDescent="0.2">
      <c r="A156" s="3" t="s">
        <v>409</v>
      </c>
      <c r="B156" s="9" t="s">
        <v>56</v>
      </c>
      <c r="C156" s="2"/>
      <c r="D156" s="2"/>
      <c r="E156" s="2"/>
      <c r="F156" s="2"/>
      <c r="G156" s="2"/>
      <c r="H156" s="2"/>
      <c r="I156" s="2"/>
      <c r="J156" s="11">
        <f>SUM(D154:J154)</f>
        <v>2261.7065625520022</v>
      </c>
      <c r="K156" s="2"/>
    </row>
    <row r="157" spans="1:11" x14ac:dyDescent="0.2">
      <c r="A157" s="3" t="s">
        <v>410</v>
      </c>
      <c r="B157" s="9" t="s">
        <v>56</v>
      </c>
      <c r="C157" s="2"/>
      <c r="D157" s="2"/>
      <c r="E157" s="2"/>
      <c r="F157" s="2"/>
      <c r="G157" s="2"/>
      <c r="H157" s="2"/>
      <c r="I157" s="2"/>
      <c r="J157" s="11">
        <f>ReverseDCF!$J$147*(1+Assumptions!$C$24)*(1-Assumptions!$C$24/Assumptions!$C$25)/(WACC!$C$14-Assumptions!$C$24)</f>
        <v>111084.07510654379</v>
      </c>
      <c r="K157" s="2"/>
    </row>
    <row r="158" spans="1:11" x14ac:dyDescent="0.2">
      <c r="A158" s="3" t="s">
        <v>411</v>
      </c>
      <c r="B158" s="9" t="s">
        <v>192</v>
      </c>
      <c r="C158" s="2"/>
      <c r="D158" s="2"/>
      <c r="E158" s="2"/>
      <c r="F158" s="2"/>
      <c r="G158" s="2"/>
      <c r="H158" s="2"/>
      <c r="I158" s="2"/>
      <c r="J158" s="14">
        <f>Multiples!$C$52</f>
        <v>6.2149083769633506</v>
      </c>
      <c r="K158" s="9" t="s">
        <v>412</v>
      </c>
    </row>
    <row r="159" spans="1:11" x14ac:dyDescent="0.2">
      <c r="A159" s="3" t="s">
        <v>413</v>
      </c>
      <c r="B159" s="9" t="s">
        <v>56</v>
      </c>
      <c r="C159" s="2"/>
      <c r="D159" s="2"/>
      <c r="E159" s="2"/>
      <c r="F159" s="2"/>
      <c r="G159" s="2"/>
      <c r="H159" s="2"/>
      <c r="I159" s="2"/>
      <c r="J159" s="11">
        <f>ReverseDCF!$J$158*ReverseDCF!$J$144</f>
        <v>103687.18717679338</v>
      </c>
      <c r="K159" s="2"/>
    </row>
    <row r="160" spans="1:11" x14ac:dyDescent="0.2">
      <c r="A160" s="3" t="s">
        <v>414</v>
      </c>
      <c r="B160" s="9" t="s">
        <v>192</v>
      </c>
      <c r="C160" s="2"/>
      <c r="D160" s="2"/>
      <c r="E160" s="2"/>
      <c r="F160" s="2"/>
      <c r="G160" s="2"/>
      <c r="H160" s="2"/>
      <c r="I160" s="2"/>
      <c r="J160" s="30">
        <f>1/(1+WACC!$C$14)^6.5</f>
        <v>0.58830530726425412</v>
      </c>
      <c r="K160" s="2"/>
    </row>
    <row r="161" spans="1:11" x14ac:dyDescent="0.2">
      <c r="A161" s="3" t="s">
        <v>415</v>
      </c>
      <c r="B161" s="9" t="s">
        <v>56</v>
      </c>
      <c r="C161" s="2"/>
      <c r="D161" s="2"/>
      <c r="E161" s="2"/>
      <c r="F161" s="2"/>
      <c r="G161" s="2"/>
      <c r="H161" s="2"/>
      <c r="I161" s="2"/>
      <c r="J161" s="11">
        <f>ReverseDCF!$J$156+ReverseDCF!$J$157*ReverseDCF!$J$160</f>
        <v>67613.057500272727</v>
      </c>
      <c r="K161" s="2"/>
    </row>
    <row r="162" spans="1:11" x14ac:dyDescent="0.2">
      <c r="A162" s="3" t="s">
        <v>416</v>
      </c>
      <c r="B162" s="9" t="s">
        <v>56</v>
      </c>
      <c r="C162" s="2"/>
      <c r="D162" s="2"/>
      <c r="E162" s="2"/>
      <c r="F162" s="2"/>
      <c r="G162" s="2"/>
      <c r="H162" s="2"/>
      <c r="I162" s="2"/>
      <c r="J162" s="11">
        <f>ReverseDCF!$J$156+ReverseDCF!$J$159*ReverseDCF!$J$160</f>
        <v>63261.429073961663</v>
      </c>
      <c r="K162" s="2"/>
    </row>
    <row r="163" spans="1:11" x14ac:dyDescent="0.2">
      <c r="A163" s="3" t="s">
        <v>417</v>
      </c>
      <c r="B163" s="9" t="s">
        <v>150</v>
      </c>
      <c r="C163" s="2"/>
      <c r="D163" s="2"/>
      <c r="E163" s="2"/>
      <c r="F163" s="2"/>
      <c r="G163" s="2"/>
      <c r="H163" s="2"/>
      <c r="I163" s="2"/>
      <c r="J163" s="22">
        <f>ReverseDCF!$J$157*ReverseDCF!$J$160/ReverseDCF!$J$161</f>
        <v>0.96654926361608662</v>
      </c>
      <c r="K163" s="2"/>
    </row>
    <row r="164" spans="1:11" x14ac:dyDescent="0.2">
      <c r="A164" s="3" t="s">
        <v>418</v>
      </c>
      <c r="B164" s="9" t="s">
        <v>91</v>
      </c>
      <c r="C164" s="2"/>
      <c r="D164" s="2"/>
      <c r="E164" s="2"/>
      <c r="F164" s="2"/>
      <c r="G164" s="2"/>
      <c r="H164" s="2"/>
      <c r="I164" s="2"/>
      <c r="J164" s="16">
        <f>(ReverseDCF!$J$161-WACC!$C$15+Assumptions!$C$11)/Assumptions!$C$6</f>
        <v>157.70991273812837</v>
      </c>
      <c r="K164" s="2"/>
    </row>
    <row r="165" spans="1:11" x14ac:dyDescent="0.2">
      <c r="A165" s="3" t="s">
        <v>419</v>
      </c>
      <c r="B165" s="9" t="s">
        <v>91</v>
      </c>
      <c r="C165" s="2"/>
      <c r="D165" s="2"/>
      <c r="E165" s="2"/>
      <c r="F165" s="2"/>
      <c r="G165" s="2"/>
      <c r="H165" s="2"/>
      <c r="I165" s="2"/>
      <c r="J165" s="16">
        <f>(ReverseDCF!$J$162-WACC!$C$15+Assumptions!$C$11)/Assumptions!$C$6</f>
        <v>144.38588203907429</v>
      </c>
      <c r="K165" s="2"/>
    </row>
    <row r="166" spans="1:11" x14ac:dyDescent="0.2">
      <c r="A166" s="4" t="s">
        <v>420</v>
      </c>
      <c r="B166" s="9" t="s">
        <v>91</v>
      </c>
      <c r="C166" s="2"/>
      <c r="D166" s="2"/>
      <c r="E166" s="2"/>
      <c r="F166" s="2"/>
      <c r="G166" s="2"/>
      <c r="H166" s="2"/>
      <c r="I166" s="2"/>
      <c r="J166" s="31">
        <f>Assumptions!$C$13*ReverseDCF!$J$164+(1-Assumptions!$C$13)*ReverseDCF!$J$165</f>
        <v>151.04789738860131</v>
      </c>
      <c r="K166" s="2"/>
    </row>
    <row r="167" spans="1:11" x14ac:dyDescent="0.2">
      <c r="A167" s="3" t="s">
        <v>421</v>
      </c>
      <c r="B167" s="9" t="s">
        <v>192</v>
      </c>
      <c r="C167" s="2"/>
      <c r="D167" s="2"/>
      <c r="E167" s="2"/>
      <c r="F167" s="2"/>
      <c r="G167" s="2"/>
      <c r="H167" s="2"/>
      <c r="I167" s="2"/>
      <c r="J167" s="14">
        <f>ReverseDCF!$J$157/ReverseDCF!$J$144</f>
        <v>6.6582705898824974</v>
      </c>
      <c r="K167" s="2"/>
    </row>
    <row r="168" spans="1:1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2">
      <c r="A169" s="5" t="s">
        <v>431</v>
      </c>
      <c r="B169" s="5" t="s">
        <v>22</v>
      </c>
      <c r="C169" s="6" t="s">
        <v>388</v>
      </c>
      <c r="D169" s="6" t="s">
        <v>217</v>
      </c>
      <c r="E169" s="6" t="s">
        <v>218</v>
      </c>
      <c r="F169" s="6" t="s">
        <v>219</v>
      </c>
      <c r="G169" s="6" t="s">
        <v>220</v>
      </c>
      <c r="H169" s="6" t="s">
        <v>221</v>
      </c>
      <c r="I169" s="6" t="s">
        <v>222</v>
      </c>
      <c r="J169" s="6" t="s">
        <v>223</v>
      </c>
      <c r="K169" s="6" t="s">
        <v>33</v>
      </c>
    </row>
    <row r="170" spans="1:11" x14ac:dyDescent="0.2">
      <c r="A170" s="3" t="s">
        <v>142</v>
      </c>
      <c r="B170" s="9" t="s">
        <v>36</v>
      </c>
      <c r="C170" s="11">
        <f>Hist!$I$5</f>
        <v>330284</v>
      </c>
      <c r="D170" s="11">
        <f>ReverseDCF!$C$170*(1+Assumptions!$C$35)</f>
        <v>338541.1</v>
      </c>
      <c r="E170" s="11">
        <f>ReverseDCF!$D$170*(1+Assumptions!$D$35)</f>
        <v>352082.74400000001</v>
      </c>
      <c r="F170" s="11">
        <f>ReverseDCF!$E$170*(1+Assumptions!$E$35)</f>
        <v>369686.8812</v>
      </c>
      <c r="G170" s="11">
        <f>ReverseDCF!$F$170*(1+Assumptions!$F$35)</f>
        <v>388171.22526000004</v>
      </c>
      <c r="H170" s="11">
        <f>ReverseDCF!$G$170*(1+Assumptions!$G$35)</f>
        <v>405638.93039669999</v>
      </c>
      <c r="I170" s="11">
        <f>ReverseDCF!$H$170*(1+Assumptions!$H$35)</f>
        <v>421864.48761256802</v>
      </c>
      <c r="J170" s="11">
        <f>ReverseDCF!$I$170*(1+Assumptions!$I$35)</f>
        <v>436629.74467900785</v>
      </c>
      <c r="K170" s="2"/>
    </row>
    <row r="171" spans="1:11" x14ac:dyDescent="0.2">
      <c r="A171" s="3" t="s">
        <v>389</v>
      </c>
      <c r="B171" s="9" t="s">
        <v>167</v>
      </c>
      <c r="C171" s="16">
        <f>Metrics!$I$13</f>
        <v>14.118152862385099</v>
      </c>
      <c r="D171" s="16">
        <f>ReverseDCF!$C$171*(1+Assumptions!$C$15)</f>
        <v>13.976971333761247</v>
      </c>
      <c r="E171" s="16">
        <f>ReverseDCF!$D$171*(1+Assumptions!$D$15)</f>
        <v>13.837201620423635</v>
      </c>
      <c r="F171" s="16">
        <f>ReverseDCF!$E$171*(1+Assumptions!$E$15)</f>
        <v>13.698829604219398</v>
      </c>
      <c r="G171" s="16">
        <f>ReverseDCF!$F$171*(1+Assumptions!$F$15)</f>
        <v>13.561841308177204</v>
      </c>
      <c r="H171" s="16">
        <f>ReverseDCF!$G$171*(1+Assumptions!$G$15)</f>
        <v>13.426222895095432</v>
      </c>
      <c r="I171" s="16">
        <f>ReverseDCF!$H$171*(1+Assumptions!$H$15)</f>
        <v>13.291960666144478</v>
      </c>
      <c r="J171" s="16">
        <f>ReverseDCF!$I$171*(1+Assumptions!$I$15)</f>
        <v>13.159041059483032</v>
      </c>
      <c r="K171" s="2"/>
    </row>
    <row r="172" spans="1:11" x14ac:dyDescent="0.2">
      <c r="A172" s="3" t="s">
        <v>147</v>
      </c>
      <c r="B172" s="9" t="s">
        <v>148</v>
      </c>
      <c r="C172" s="16">
        <f>Hist!$I$9</f>
        <v>2.44</v>
      </c>
      <c r="D172" s="16">
        <f>Assumptions!$C$39</f>
        <v>3.97</v>
      </c>
      <c r="E172" s="16">
        <f>Assumptions!$D$39</f>
        <v>3.3</v>
      </c>
      <c r="F172" s="16">
        <f>Assumptions!$E$39</f>
        <v>3</v>
      </c>
      <c r="G172" s="16">
        <f>Assumptions!$F$39</f>
        <v>2.9</v>
      </c>
      <c r="H172" s="16">
        <f>Assumptions!$G$39</f>
        <v>2.9</v>
      </c>
      <c r="I172" s="16">
        <f>Assumptions!$H$39</f>
        <v>2.95</v>
      </c>
      <c r="J172" s="16">
        <f>Assumptions!$I$39</f>
        <v>3</v>
      </c>
      <c r="K172" s="2"/>
    </row>
    <row r="173" spans="1:11" x14ac:dyDescent="0.2">
      <c r="A173" s="3" t="s">
        <v>164</v>
      </c>
      <c r="B173" s="9" t="s">
        <v>42</v>
      </c>
      <c r="C173" s="16">
        <f>ReverseDCF!$C$171*ReverseDCF!$C$172/10</f>
        <v>3.4448292984219639</v>
      </c>
      <c r="D173" s="16">
        <f>ReverseDCF!$D$171*ReverseDCF!$D$172/10</f>
        <v>5.5488576195032149</v>
      </c>
      <c r="E173" s="16">
        <f>ReverseDCF!$E$171*ReverseDCF!$E$172/10</f>
        <v>4.5662765347397993</v>
      </c>
      <c r="F173" s="16">
        <f>ReverseDCF!$F$171*ReverseDCF!$F$172/10</f>
        <v>4.1096488812658194</v>
      </c>
      <c r="G173" s="16">
        <f>ReverseDCF!$G$171*ReverseDCF!$G$172/10</f>
        <v>3.9329339793713891</v>
      </c>
      <c r="H173" s="16">
        <f>ReverseDCF!$H$171*ReverseDCF!$H$172/10</f>
        <v>3.8936046395776751</v>
      </c>
      <c r="I173" s="16">
        <f>ReverseDCF!$I$171*ReverseDCF!$I$172/10</f>
        <v>3.9211283965126214</v>
      </c>
      <c r="J173" s="16">
        <f>ReverseDCF!$J$171*ReverseDCF!$J$172/10</f>
        <v>3.9477123178449096</v>
      </c>
      <c r="K173" s="2"/>
    </row>
    <row r="174" spans="1:11" x14ac:dyDescent="0.2">
      <c r="A174" s="3" t="s">
        <v>390</v>
      </c>
      <c r="B174" s="9" t="s">
        <v>42</v>
      </c>
      <c r="C174" s="16">
        <f>Metrics!$I$8</f>
        <v>17.884608397621442</v>
      </c>
      <c r="D174" s="16">
        <f>ReverseDCF!$C$174*(1+Assumptions!$C$36)+Assumptions!$C$37*(ReverseDCF!$D$173-ReverseDCF!$C$173)</f>
        <v>20.014946264426978</v>
      </c>
      <c r="E174" s="16">
        <f>ReverseDCF!$D$174*(1+Assumptions!$D$36+ReverseDCF!$H$4)+Assumptions!$D$37*(ReverseDCF!$E$173-ReverseDCF!$D$173)</f>
        <v>19.878458838787228</v>
      </c>
      <c r="F174" s="16">
        <f>ReverseDCF!$E$174*(1+Assumptions!$E$36+ReverseDCF!$H$4)+Assumptions!$E$37*(ReverseDCF!$F$173-ReverseDCF!$E$173)</f>
        <v>20.117577244670798</v>
      </c>
      <c r="G174" s="16">
        <f>ReverseDCF!$F$174*(1+Assumptions!$F$36+ReverseDCF!$H$4)+Assumptions!$F$37*(ReverseDCF!$G$173-ReverseDCF!$F$173)</f>
        <v>20.644977546339842</v>
      </c>
      <c r="H174" s="16">
        <f>ReverseDCF!$G$174*(1+Assumptions!$G$36+ReverseDCF!$H$4)+Assumptions!$G$37*(ReverseDCF!$H$173-ReverseDCF!$G$173)</f>
        <v>21.32822242066802</v>
      </c>
      <c r="I174" s="16">
        <f>ReverseDCF!$H$174*(1+Assumptions!$H$36+ReverseDCF!$H$4)+Assumptions!$H$37*(ReverseDCF!$I$173-ReverseDCF!$H$173)</f>
        <v>22.102233962326345</v>
      </c>
      <c r="J174" s="16">
        <f>ReverseDCF!$I$174*(1+Assumptions!$I$36+ReverseDCF!$H$4)+Assumptions!$I$37*(ReverseDCF!$J$173-ReverseDCF!$I$173)</f>
        <v>22.902396072340053</v>
      </c>
      <c r="K174" s="2"/>
    </row>
    <row r="175" spans="1:11" x14ac:dyDescent="0.2">
      <c r="A175" s="4" t="s">
        <v>144</v>
      </c>
      <c r="B175" s="9" t="s">
        <v>56</v>
      </c>
      <c r="C175" s="15">
        <f>Hist!$I$19</f>
        <v>59070</v>
      </c>
      <c r="D175" s="15">
        <f>ReverseDCF!$D$170*ReverseDCF!$D$174/100</f>
        <v>67758.819247999985</v>
      </c>
      <c r="E175" s="15">
        <f>ReverseDCF!$E$170*ReverseDCF!$E$174/100</f>
        <v>69988.623344512613</v>
      </c>
      <c r="F175" s="15">
        <f>ReverseDCF!$F$170*ReverseDCF!$F$174/100</f>
        <v>74372.043888824366</v>
      </c>
      <c r="G175" s="15">
        <f>ReverseDCF!$G$170*ReverseDCF!$G$174/100</f>
        <v>80137.862296279258</v>
      </c>
      <c r="H175" s="15">
        <f>ReverseDCF!$H$170*ReverseDCF!$H$174/100</f>
        <v>86515.573299826909</v>
      </c>
      <c r="I175" s="15">
        <f>ReverseDCF!$I$170*ReverseDCF!$I$174/100</f>
        <v>93241.476056099025</v>
      </c>
      <c r="J175" s="15">
        <f>ReverseDCF!$J$170*ReverseDCF!$J$174/100</f>
        <v>99998.673496033487</v>
      </c>
      <c r="K175" s="2"/>
    </row>
    <row r="176" spans="1:11" x14ac:dyDescent="0.2">
      <c r="A176" s="3" t="s">
        <v>146</v>
      </c>
      <c r="B176" s="9" t="s">
        <v>42</v>
      </c>
      <c r="C176" s="16">
        <f>Metrics!$I$10</f>
        <v>12.64</v>
      </c>
      <c r="D176" s="16">
        <f>ReverseDCF!$C$176*(1+Assumptions!$C$38)</f>
        <v>13.3352</v>
      </c>
      <c r="E176" s="16">
        <f>ReverseDCF!$D$176*(1+Assumptions!$D$38)</f>
        <v>13.668579999999999</v>
      </c>
      <c r="F176" s="16">
        <f>ReverseDCF!$E$176*(1+Assumptions!$E$38)</f>
        <v>13.941951599999999</v>
      </c>
      <c r="G176" s="16">
        <f>ReverseDCF!$F$176*(1+Assumptions!$F$38)</f>
        <v>14.262616486799999</v>
      </c>
      <c r="H176" s="16">
        <f>ReverseDCF!$G$176*(1+Assumptions!$G$38)</f>
        <v>14.647707131943598</v>
      </c>
      <c r="I176" s="16">
        <f>ReverseDCF!$H$176*(1+Assumptions!$H$38)</f>
        <v>15.043195224506073</v>
      </c>
      <c r="J176" s="16">
        <f>ReverseDCF!$I$176*(1+Assumptions!$I$38)</f>
        <v>15.449361495567736</v>
      </c>
      <c r="K176" s="2"/>
    </row>
    <row r="177" spans="1:11" x14ac:dyDescent="0.2">
      <c r="A177" s="3" t="s">
        <v>391</v>
      </c>
      <c r="B177" s="9" t="s">
        <v>56</v>
      </c>
      <c r="C177" s="2"/>
      <c r="D177" s="11">
        <f>ReverseDCF!$D$170*ReverseDCF!$D$176/100</f>
        <v>45145.132767199997</v>
      </c>
      <c r="E177" s="11">
        <f>ReverseDCF!$E$170*ReverseDCF!$E$176/100</f>
        <v>48124.711529835193</v>
      </c>
      <c r="F177" s="11">
        <f>ReverseDCF!$F$170*ReverseDCF!$F$176/100</f>
        <v>51541.566048453496</v>
      </c>
      <c r="G177" s="11">
        <f>ReverseDCF!$G$170*ReverseDCF!$G$176/100</f>
        <v>55363.373170946325</v>
      </c>
      <c r="H177" s="11">
        <f>ReverseDCF!$H$170*ReverseDCF!$H$176/100</f>
        <v>59416.802537657153</v>
      </c>
      <c r="I177" s="11">
        <f>ReverseDCF!$I$170*ReverseDCF!$I$176/100</f>
        <v>63461.898454420843</v>
      </c>
      <c r="J177" s="11">
        <f>ReverseDCF!$J$170*ReverseDCF!$J$176/100</f>
        <v>67456.507652634347</v>
      </c>
      <c r="K177" s="2"/>
    </row>
    <row r="178" spans="1:11" x14ac:dyDescent="0.2">
      <c r="A178" s="3" t="s">
        <v>392</v>
      </c>
      <c r="B178" s="9" t="s">
        <v>56</v>
      </c>
      <c r="C178" s="2"/>
      <c r="D178" s="11">
        <f>ReverseDCF!$D$170*ReverseDCF!$D$173/100</f>
        <v>18785.163622499997</v>
      </c>
      <c r="E178" s="11">
        <f>ReverseDCF!$E$170*ReverseDCF!$E$173/100</f>
        <v>16077.071722139997</v>
      </c>
      <c r="F178" s="11">
        <f>ReverseDCF!$F$170*ReverseDCF!$F$173/100</f>
        <v>15192.832777422298</v>
      </c>
      <c r="G178" s="11">
        <f>ReverseDCF!$G$170*ReverseDCF!$G$173/100</f>
        <v>15266.518016392798</v>
      </c>
      <c r="H178" s="11">
        <f>ReverseDCF!$H$170*ReverseDCF!$H$173/100</f>
        <v>15793.976213859167</v>
      </c>
      <c r="I178" s="11">
        <f>ReverseDCF!$I$170*ReverseDCF!$I$173/100</f>
        <v>16541.848218578874</v>
      </c>
      <c r="J178" s="11">
        <f>ReverseDCF!$J$170*ReverseDCF!$J$173/100</f>
        <v>17236.88621406797</v>
      </c>
      <c r="K178" s="2"/>
    </row>
    <row r="179" spans="1:11" x14ac:dyDescent="0.2">
      <c r="A179" s="3" t="s">
        <v>393</v>
      </c>
      <c r="B179" s="9" t="s">
        <v>56</v>
      </c>
      <c r="C179" s="2"/>
      <c r="D179" s="11">
        <f>ReverseDCF!$D$175*Assumptions!$C$16</f>
        <v>304.91468661599993</v>
      </c>
      <c r="E179" s="11">
        <f>ReverseDCF!$E$175*Assumptions!$D$16</f>
        <v>314.94880505030676</v>
      </c>
      <c r="F179" s="11">
        <f>ReverseDCF!$F$175*Assumptions!$E$16</f>
        <v>334.67419749970963</v>
      </c>
      <c r="G179" s="11">
        <f>ReverseDCF!$G$175*Assumptions!$F$16</f>
        <v>360.62038033325661</v>
      </c>
      <c r="H179" s="11">
        <f>ReverseDCF!$H$175*Assumptions!$G$16</f>
        <v>389.32007984922103</v>
      </c>
      <c r="I179" s="11">
        <f>ReverseDCF!$I$175*Assumptions!$H$16</f>
        <v>419.58664225244559</v>
      </c>
      <c r="J179" s="11">
        <f>ReverseDCF!$J$175*Assumptions!$I$16</f>
        <v>449.99403073215063</v>
      </c>
      <c r="K179" s="2"/>
    </row>
    <row r="180" spans="1:11" x14ac:dyDescent="0.2">
      <c r="A180" s="3" t="s">
        <v>394</v>
      </c>
      <c r="B180" s="9" t="s">
        <v>56</v>
      </c>
      <c r="C180" s="2"/>
      <c r="D180" s="11">
        <f>ReverseDCF!$D$175-ReverseDCF!$D$177-ReverseDCF!$D$178-ReverseDCF!$D$179</f>
        <v>3523.6081716839917</v>
      </c>
      <c r="E180" s="11">
        <f>ReverseDCF!$E$175-ReverseDCF!$E$177-ReverseDCF!$E$178-ReverseDCF!$E$179</f>
        <v>5471.8912874871157</v>
      </c>
      <c r="F180" s="11">
        <f>ReverseDCF!$F$175-ReverseDCF!$F$177-ReverseDCF!$F$178-ReverseDCF!$F$179</f>
        <v>7302.9708654488622</v>
      </c>
      <c r="G180" s="11">
        <f>ReverseDCF!$G$175-ReverseDCF!$G$177-ReverseDCF!$G$178-ReverseDCF!$G$179</f>
        <v>9147.350728606878</v>
      </c>
      <c r="H180" s="11">
        <f>ReverseDCF!$H$175-ReverseDCF!$H$177-ReverseDCF!$H$178-ReverseDCF!$H$179</f>
        <v>10915.474468461367</v>
      </c>
      <c r="I180" s="11">
        <f>ReverseDCF!$I$175-ReverseDCF!$I$177-ReverseDCF!$I$178-ReverseDCF!$I$179</f>
        <v>12818.142740846863</v>
      </c>
      <c r="J180" s="11">
        <f>ReverseDCF!$J$175-ReverseDCF!$J$177-ReverseDCF!$J$178-ReverseDCF!$J$179</f>
        <v>14855.285598599019</v>
      </c>
      <c r="K180" s="2"/>
    </row>
    <row r="181" spans="1:11" x14ac:dyDescent="0.2">
      <c r="A181" s="3" t="s">
        <v>250</v>
      </c>
      <c r="B181" s="9" t="s">
        <v>56</v>
      </c>
      <c r="C181" s="2"/>
      <c r="D181" s="11">
        <f>MAX(0,ReverseDCF!$D$180)*Assumptions!$C$17</f>
        <v>422.83298060207898</v>
      </c>
      <c r="E181" s="11">
        <f>MAX(0,ReverseDCF!$E$180)*Assumptions!$D$17</f>
        <v>656.62695449845387</v>
      </c>
      <c r="F181" s="11">
        <f>MAX(0,ReverseDCF!$F$180)*Assumptions!$E$17</f>
        <v>876.35650385386339</v>
      </c>
      <c r="G181" s="11">
        <f>MAX(0,ReverseDCF!$G$180)*Assumptions!$F$17</f>
        <v>1097.6820874328253</v>
      </c>
      <c r="H181" s="11">
        <f>MAX(0,ReverseDCF!$H$180)*Assumptions!$G$17</f>
        <v>1309.8569362153639</v>
      </c>
      <c r="I181" s="11">
        <f>MAX(0,ReverseDCF!$I$180)*Assumptions!$H$17</f>
        <v>1538.1771289016235</v>
      </c>
      <c r="J181" s="11">
        <f>MAX(0,ReverseDCF!$J$180)*Assumptions!$I$17</f>
        <v>1782.6342718318822</v>
      </c>
      <c r="K181" s="2"/>
    </row>
    <row r="182" spans="1:11" x14ac:dyDescent="0.2">
      <c r="A182" s="4" t="s">
        <v>395</v>
      </c>
      <c r="B182" s="9" t="s">
        <v>56</v>
      </c>
      <c r="C182" s="15">
        <f>Hist!$I$31</f>
        <v>4972</v>
      </c>
      <c r="D182" s="15">
        <f>ReverseDCF!$D$180-ReverseDCF!$D$181</f>
        <v>3100.7751910819129</v>
      </c>
      <c r="E182" s="15">
        <f>ReverseDCF!$E$180-ReverseDCF!$E$181</f>
        <v>4815.2643329886614</v>
      </c>
      <c r="F182" s="15">
        <f>ReverseDCF!$F$180-ReverseDCF!$F$181</f>
        <v>6426.6143615949986</v>
      </c>
      <c r="G182" s="15">
        <f>ReverseDCF!$G$180-ReverseDCF!$G$181</f>
        <v>8049.6686411740529</v>
      </c>
      <c r="H182" s="15">
        <f>ReverseDCF!$H$180-ReverseDCF!$H$181</f>
        <v>9605.617532246004</v>
      </c>
      <c r="I182" s="15">
        <f>ReverseDCF!$I$180-ReverseDCF!$I$181</f>
        <v>11279.965611945239</v>
      </c>
      <c r="J182" s="15">
        <f>ReverseDCF!$J$180-ReverseDCF!$J$181</f>
        <v>13072.651326767136</v>
      </c>
      <c r="K182" s="2"/>
    </row>
    <row r="183" spans="1:11" x14ac:dyDescent="0.2">
      <c r="A183" s="3" t="s">
        <v>149</v>
      </c>
      <c r="B183" s="9" t="s">
        <v>150</v>
      </c>
      <c r="C183" s="19">
        <f>ReverseDCF!$C$182/ReverseDCF!$C$175</f>
        <v>8.417132216014897E-2</v>
      </c>
      <c r="D183" s="19">
        <f>ReverseDCF!$D$182/ReverseDCF!$D$175</f>
        <v>4.5761942511615382E-2</v>
      </c>
      <c r="E183" s="19">
        <f>ReverseDCF!$E$182/ReverseDCF!$E$175</f>
        <v>6.8800672207623828E-2</v>
      </c>
      <c r="F183" s="19">
        <f>ReverseDCF!$F$182/ReverseDCF!$F$175</f>
        <v>8.6411694846007914E-2</v>
      </c>
      <c r="G183" s="19">
        <f>ReverseDCF!$G$182/ReverseDCF!$G$175</f>
        <v>0.1004477585315848</v>
      </c>
      <c r="H183" s="19">
        <f>ReverseDCF!$H$182/ReverseDCF!$H$175</f>
        <v>0.11102761232312405</v>
      </c>
      <c r="I183" s="19">
        <f>ReverseDCF!$I$182/ReverseDCF!$I$175</f>
        <v>0.12097583703156536</v>
      </c>
      <c r="J183" s="19">
        <f>ReverseDCF!$J$182/ReverseDCF!$J$175</f>
        <v>0.13072824738305824</v>
      </c>
      <c r="K183" s="2"/>
    </row>
    <row r="184" spans="1:11" x14ac:dyDescent="0.2">
      <c r="A184" s="3" t="s">
        <v>253</v>
      </c>
      <c r="B184" s="9" t="s">
        <v>56</v>
      </c>
      <c r="C184" s="11">
        <f>Hist!$I$26</f>
        <v>2939</v>
      </c>
      <c r="D184" s="11">
        <f>ReverseDCF!$D$175*Assumptions!$C$18</f>
        <v>3252.4233239039995</v>
      </c>
      <c r="E184" s="11">
        <f>ReverseDCF!$E$175*Assumptions!$D$18</f>
        <v>3359.4539205366054</v>
      </c>
      <c r="F184" s="11">
        <f>ReverseDCF!$F$175*Assumptions!$E$18</f>
        <v>3569.8581066635697</v>
      </c>
      <c r="G184" s="11">
        <f>ReverseDCF!$G$175*Assumptions!$F$18</f>
        <v>3846.6173902214045</v>
      </c>
      <c r="H184" s="11">
        <f>ReverseDCF!$H$175*Assumptions!$G$18</f>
        <v>4152.7475183916913</v>
      </c>
      <c r="I184" s="11">
        <f>ReverseDCF!$I$175*Assumptions!$H$18</f>
        <v>4475.5908506927535</v>
      </c>
      <c r="J184" s="11">
        <f>ReverseDCF!$J$175*Assumptions!$I$18</f>
        <v>4799.9363278096071</v>
      </c>
      <c r="K184" s="2"/>
    </row>
    <row r="185" spans="1:11" x14ac:dyDescent="0.2">
      <c r="A185" s="3" t="s">
        <v>396</v>
      </c>
      <c r="B185" s="9" t="s">
        <v>56</v>
      </c>
      <c r="C185" s="11">
        <f>Metrics!$I$31</f>
        <v>8970</v>
      </c>
      <c r="D185" s="11">
        <f>ReverseDCF!$D$182+ReverseDCF!$D$184+ReverseDCF!$D$175*Assumptions!$C$19</f>
        <v>7403.4602133299122</v>
      </c>
      <c r="E185" s="11">
        <f>ReverseDCF!$E$182+ReverseDCF!$E$184+ReverseDCF!$E$175*Assumptions!$D$19</f>
        <v>9259.5419153652128</v>
      </c>
      <c r="F185" s="11">
        <f>ReverseDCF!$F$182+ReverseDCF!$F$184+ReverseDCF!$F$175*Assumptions!$E$19</f>
        <v>11149.239148535347</v>
      </c>
      <c r="G185" s="11">
        <f>ReverseDCF!$G$182+ReverseDCF!$G$184+ReverseDCF!$G$175*Assumptions!$F$19</f>
        <v>13138.422896987786</v>
      </c>
      <c r="H185" s="11">
        <f>ReverseDCF!$H$182+ReverseDCF!$H$184+ReverseDCF!$H$175*Assumptions!$G$19</f>
        <v>15099.356436785012</v>
      </c>
      <c r="I185" s="11">
        <f>ReverseDCF!$I$182+ReverseDCF!$I$184+ReverseDCF!$I$175*Assumptions!$H$19</f>
        <v>17200.799341507529</v>
      </c>
      <c r="J185" s="11">
        <f>ReverseDCF!$J$182+ReverseDCF!$J$184+ReverseDCF!$J$175*Assumptions!$I$19</f>
        <v>19422.567093765261</v>
      </c>
      <c r="K185" s="2"/>
    </row>
    <row r="186" spans="1:11" x14ac:dyDescent="0.2">
      <c r="A186" s="3" t="s">
        <v>397</v>
      </c>
      <c r="B186" s="9" t="s">
        <v>56</v>
      </c>
      <c r="C186" s="2"/>
      <c r="D186" s="11">
        <f>Hist!$K$51</f>
        <v>7204</v>
      </c>
      <c r="E186" s="11">
        <f>ReverseDCF!$D$186*(1+Assumptions!$D$35)</f>
        <v>7492.16</v>
      </c>
      <c r="F186" s="11">
        <f>ReverseDCF!$E$186*(1+Assumptions!$E$35)</f>
        <v>7866.768</v>
      </c>
      <c r="G186" s="11">
        <f>ReverseDCF!$F$186*(1+Assumptions!$F$35)</f>
        <v>8260.1064000000006</v>
      </c>
      <c r="H186" s="11">
        <f>ReverseDCF!$G$186*(1+Assumptions!$G$35)</f>
        <v>8631.8111879999997</v>
      </c>
      <c r="I186" s="11">
        <f>ReverseDCF!$H$186*(1+Assumptions!$H$35)</f>
        <v>8977.0836355200008</v>
      </c>
      <c r="J186" s="11">
        <f>ReverseDCF!$I$186*(1+Assumptions!$I$35)</f>
        <v>9291.2815627632008</v>
      </c>
      <c r="K186" s="2"/>
    </row>
    <row r="187" spans="1:11" x14ac:dyDescent="0.2">
      <c r="A187" s="3" t="s">
        <v>398</v>
      </c>
      <c r="B187" s="9" t="s">
        <v>56</v>
      </c>
      <c r="C187" s="2"/>
      <c r="D187" s="11">
        <f>ReverseDCF!$D$186*Assumptions!$C$20</f>
        <v>468.26</v>
      </c>
      <c r="E187" s="11">
        <f>ReverseDCF!$E$186*Assumptions!$C$20</f>
        <v>486.99040000000002</v>
      </c>
      <c r="F187" s="11">
        <f>ReverseDCF!$F$186*Assumptions!$C$20</f>
        <v>511.33992000000001</v>
      </c>
      <c r="G187" s="11">
        <f>ReverseDCF!$G$186*Assumptions!$C$20</f>
        <v>536.90691600000002</v>
      </c>
      <c r="H187" s="11">
        <f>ReverseDCF!$H$186*Assumptions!$C$20</f>
        <v>561.06772722000005</v>
      </c>
      <c r="I187" s="11">
        <f>ReverseDCF!$I$186*Assumptions!$C$20</f>
        <v>583.51043630880008</v>
      </c>
      <c r="J187" s="11">
        <f>ReverseDCF!$J$186*Assumptions!$C$20</f>
        <v>603.93330157960804</v>
      </c>
      <c r="K187" s="2"/>
    </row>
    <row r="188" spans="1:11" x14ac:dyDescent="0.2">
      <c r="A188" s="3" t="s">
        <v>399</v>
      </c>
      <c r="B188" s="9" t="s">
        <v>56</v>
      </c>
      <c r="C188" s="2"/>
      <c r="D188" s="11">
        <f>(ReverseDCF!$D$182+ReverseDCF!$D$187)*(1-Assumptions!$C$10)</f>
        <v>2783.8474490438921</v>
      </c>
      <c r="E188" s="11">
        <f>(ReverseDCF!$E$182+ReverseDCF!$E$187)*(1-Assumptions!$C$10)</f>
        <v>4135.7586917311555</v>
      </c>
      <c r="F188" s="11">
        <f>(ReverseDCF!$F$182+ReverseDCF!$F$187)*(1-Assumptions!$C$10)</f>
        <v>5411.6043396440991</v>
      </c>
      <c r="G188" s="11">
        <f>(ReverseDCF!$G$182+ReverseDCF!$G$187)*(1-Assumptions!$C$10)</f>
        <v>6697.5289345957617</v>
      </c>
      <c r="H188" s="11">
        <f>(ReverseDCF!$H$182+ReverseDCF!$H$187)*(1-Assumptions!$C$10)</f>
        <v>7930.0145023834839</v>
      </c>
      <c r="I188" s="11">
        <f>(ReverseDCF!$I$182+ReverseDCF!$I$187)*(1-Assumptions!$C$10)</f>
        <v>9253.511317638151</v>
      </c>
      <c r="J188" s="11">
        <f>(ReverseDCF!$J$182+ReverseDCF!$J$187)*(1-Assumptions!$C$10)</f>
        <v>10667.73601011046</v>
      </c>
      <c r="K188" s="2"/>
    </row>
    <row r="189" spans="1:11" x14ac:dyDescent="0.2">
      <c r="A189" s="3" t="s">
        <v>278</v>
      </c>
      <c r="B189" s="9" t="s">
        <v>56</v>
      </c>
      <c r="C189" s="2"/>
      <c r="D189" s="11">
        <f>Assumptions!$C$23</f>
        <v>7500</v>
      </c>
      <c r="E189" s="11">
        <f>ReverseDCF!$E$175*Assumptions!$D$40</f>
        <v>8048.6916846189506</v>
      </c>
      <c r="F189" s="11">
        <f>ReverseDCF!$F$175*Assumptions!$E$40</f>
        <v>8924.645266658923</v>
      </c>
      <c r="G189" s="11">
        <f>ReverseDCF!$G$175*Assumptions!$F$40</f>
        <v>9616.5434755535098</v>
      </c>
      <c r="H189" s="11">
        <f>ReverseDCF!$H$175*Assumptions!$G$40</f>
        <v>9516.7130629809599</v>
      </c>
      <c r="I189" s="11">
        <f>ReverseDCF!$I$175*Assumptions!$H$40</f>
        <v>9790.3549858903971</v>
      </c>
      <c r="J189" s="11">
        <f>ReverseDCF!$J$175*Assumptions!$I$40</f>
        <v>9999.8673496033498</v>
      </c>
      <c r="K189" s="2"/>
    </row>
    <row r="190" spans="1:11" x14ac:dyDescent="0.2">
      <c r="A190" s="3" t="s">
        <v>400</v>
      </c>
      <c r="B190" s="9" t="s">
        <v>56</v>
      </c>
      <c r="C190" s="2"/>
      <c r="D190" s="11">
        <f>(ReverseDCF!$D$175-ReverseDCF!$C$175)*Assumptions!$C$21</f>
        <v>868.88192479999861</v>
      </c>
      <c r="E190" s="11">
        <f>(ReverseDCF!$E$175-ReverseDCF!$D$175)*Assumptions!$D$21</f>
        <v>222.98040965126276</v>
      </c>
      <c r="F190" s="11">
        <f>(ReverseDCF!$F$175-ReverseDCF!$E$175)*Assumptions!$E$21</f>
        <v>438.34205443117537</v>
      </c>
      <c r="G190" s="11">
        <f>(ReverseDCF!$G$175-ReverseDCF!$F$175)*Assumptions!$F$21</f>
        <v>576.58184074548922</v>
      </c>
      <c r="H190" s="11">
        <f>(ReverseDCF!$H$175-ReverseDCF!$G$175)*Assumptions!$G$21</f>
        <v>637.77110035476517</v>
      </c>
      <c r="I190" s="11">
        <f>(ReverseDCF!$I$175-ReverseDCF!$H$175)*Assumptions!$H$21</f>
        <v>672.59027562721167</v>
      </c>
      <c r="J190" s="11">
        <f>(ReverseDCF!$J$175-ReverseDCF!$I$175)*Assumptions!$I$21</f>
        <v>675.71974399344617</v>
      </c>
      <c r="K190" s="2"/>
    </row>
    <row r="191" spans="1:11" x14ac:dyDescent="0.2">
      <c r="A191" s="4" t="s">
        <v>401</v>
      </c>
      <c r="B191" s="9" t="s">
        <v>56</v>
      </c>
      <c r="C191" s="2"/>
      <c r="D191" s="15">
        <f>ReverseDCF!$D$188+ReverseDCF!$D$184-ReverseDCF!$D$189+ReverseDCF!$D$190</f>
        <v>-594.84730225210978</v>
      </c>
      <c r="E191" s="15">
        <f>ReverseDCF!$E$188+ReverseDCF!$E$184-ReverseDCF!$E$189+ReverseDCF!$E$190</f>
        <v>-330.49866269992685</v>
      </c>
      <c r="F191" s="15">
        <f>ReverseDCF!$F$188+ReverseDCF!$F$184-ReverseDCF!$F$189+ReverseDCF!$F$190</f>
        <v>495.15923407992125</v>
      </c>
      <c r="G191" s="15">
        <f>ReverseDCF!$G$188+ReverseDCF!$G$184-ReverseDCF!$G$189+ReverseDCF!$G$190</f>
        <v>1504.1846900091452</v>
      </c>
      <c r="H191" s="15">
        <f>ReverseDCF!$H$188+ReverseDCF!$H$184-ReverseDCF!$H$189+ReverseDCF!$H$190</f>
        <v>3203.8200581489805</v>
      </c>
      <c r="I191" s="15">
        <f>ReverseDCF!$I$188+ReverseDCF!$I$184-ReverseDCF!$I$189+ReverseDCF!$I$190</f>
        <v>4611.3374580677191</v>
      </c>
      <c r="J191" s="15">
        <f>ReverseDCF!$J$188+ReverseDCF!$J$184-ReverseDCF!$J$189+ReverseDCF!$J$190</f>
        <v>6143.524732310163</v>
      </c>
      <c r="K191" s="2"/>
    </row>
    <row r="192" spans="1:11" x14ac:dyDescent="0.2">
      <c r="A192" s="3" t="s">
        <v>402</v>
      </c>
      <c r="B192" s="9" t="s">
        <v>56</v>
      </c>
      <c r="C192" s="2"/>
      <c r="D192" s="11">
        <f>ReverseDCF!$D$191-Assumptions!$C$12</f>
        <v>-4032.7873022521098</v>
      </c>
      <c r="E192" s="11">
        <f>ReverseDCF!$E$191</f>
        <v>-330.49866269992685</v>
      </c>
      <c r="F192" s="11">
        <f>ReverseDCF!$F$191</f>
        <v>495.15923407992125</v>
      </c>
      <c r="G192" s="11">
        <f>ReverseDCF!$G$191</f>
        <v>1504.1846900091452</v>
      </c>
      <c r="H192" s="11">
        <f>ReverseDCF!$H$191</f>
        <v>3203.8200581489805</v>
      </c>
      <c r="I192" s="11">
        <f>ReverseDCF!$I$191</f>
        <v>4611.3374580677191</v>
      </c>
      <c r="J192" s="11">
        <f>ReverseDCF!$J$191</f>
        <v>6143.524732310163</v>
      </c>
      <c r="K192" s="2"/>
    </row>
    <row r="193" spans="1:11" x14ac:dyDescent="0.2">
      <c r="A193" s="3" t="s">
        <v>403</v>
      </c>
      <c r="B193" s="9" t="s">
        <v>404</v>
      </c>
      <c r="C193" s="2"/>
      <c r="D193" s="12">
        <v>0.25</v>
      </c>
      <c r="E193" s="12">
        <v>1</v>
      </c>
      <c r="F193" s="12">
        <v>2</v>
      </c>
      <c r="G193" s="12">
        <v>3</v>
      </c>
      <c r="H193" s="12">
        <v>4</v>
      </c>
      <c r="I193" s="12">
        <v>5</v>
      </c>
      <c r="J193" s="12">
        <v>6</v>
      </c>
      <c r="K193" s="9" t="s">
        <v>405</v>
      </c>
    </row>
    <row r="194" spans="1:11" x14ac:dyDescent="0.2">
      <c r="A194" s="3" t="s">
        <v>406</v>
      </c>
      <c r="B194" s="9" t="s">
        <v>192</v>
      </c>
      <c r="C194" s="2"/>
      <c r="D194" s="30">
        <f>1/(1+WACC!$C$14)^ReverseDCF!$D$193</f>
        <v>0.97980255571454589</v>
      </c>
      <c r="E194" s="30">
        <f>1/(1+WACC!$C$14)^ReverseDCF!$E$193</f>
        <v>0.92162505268498662</v>
      </c>
      <c r="F194" s="30">
        <f>1/(1+WACC!$C$14)^ReverseDCF!$F$193</f>
        <v>0.8493927377366044</v>
      </c>
      <c r="G194" s="30">
        <f>1/(1+WACC!$C$14)^ReverseDCF!$G$193</f>
        <v>0.78282162666674304</v>
      </c>
      <c r="H194" s="30">
        <f>1/(1+WACC!$C$14)^ReverseDCF!$H$193</f>
        <v>0.72146802291968404</v>
      </c>
      <c r="I194" s="30">
        <f>1/(1+WACC!$C$14)^ReverseDCF!$I$193</f>
        <v>0.66492300463388687</v>
      </c>
      <c r="J194" s="30">
        <f>1/(1+WACC!$C$14)^ReverseDCF!$J$193</f>
        <v>0.61280969917716566</v>
      </c>
      <c r="K194" s="2"/>
    </row>
    <row r="195" spans="1:11" x14ac:dyDescent="0.2">
      <c r="A195" s="3" t="s">
        <v>407</v>
      </c>
      <c r="B195" s="9" t="s">
        <v>56</v>
      </c>
      <c r="C195" s="2"/>
      <c r="D195" s="11">
        <f>ReverseDCF!$D$192*ReverseDCF!$D$194</f>
        <v>-3951.3353053997862</v>
      </c>
      <c r="E195" s="11">
        <f>ReverseDCF!$E$192*ReverseDCF!$E$194</f>
        <v>-304.59584742313768</v>
      </c>
      <c r="F195" s="11">
        <f>ReverseDCF!$F$192*ReverseDCF!$F$194</f>
        <v>420.58465745070447</v>
      </c>
      <c r="G195" s="11">
        <f>ReverseDCF!$G$192*ReverseDCF!$G$194</f>
        <v>1177.5083058401697</v>
      </c>
      <c r="H195" s="11">
        <f>ReverseDCF!$H$192*ReverseDCF!$H$194</f>
        <v>2311.4537231431723</v>
      </c>
      <c r="I195" s="11">
        <f>ReverseDCF!$I$192*ReverseDCF!$I$194</f>
        <v>3066.1843579991782</v>
      </c>
      <c r="J195" s="11">
        <f>ReverseDCF!$J$192*ReverseDCF!$J$194</f>
        <v>3764.8115430944681</v>
      </c>
      <c r="K195" s="2"/>
    </row>
    <row r="196" spans="1:11" x14ac:dyDescent="0.2">
      <c r="A196" s="3" t="s">
        <v>408</v>
      </c>
      <c r="B196" s="9" t="s">
        <v>91</v>
      </c>
      <c r="C196" s="2"/>
      <c r="D196" s="16">
        <f>(ReverseDCF!$D$182-Assumptions!$C$22)*(1-Assumptions!$C$10)/Assumptions!$C$6</f>
        <v>6.0918697153824004</v>
      </c>
      <c r="E196" s="16">
        <f>(ReverseDCF!$E$182-Assumptions!$D$22)*(1-Assumptions!$C$10)/Assumptions!$C$6</f>
        <v>10.186485547247875</v>
      </c>
      <c r="F196" s="16">
        <f>(ReverseDCF!$F$182-Assumptions!$E$22)*(1-Assumptions!$C$10)/Assumptions!$C$6</f>
        <v>14.034780165474888</v>
      </c>
      <c r="G196" s="16">
        <f>(ReverseDCF!$G$182-Assumptions!$F$22)*(1-Assumptions!$C$10)/Assumptions!$C$6</f>
        <v>17.911027373287695</v>
      </c>
      <c r="H196" s="16">
        <f>(ReverseDCF!$H$182-Assumptions!$G$22)*(1-Assumptions!$C$10)/Assumptions!$C$6</f>
        <v>21.627010640391557</v>
      </c>
      <c r="I196" s="16">
        <f>(ReverseDCF!$I$182-Assumptions!$H$22)*(1-Assumptions!$C$10)/Assumptions!$C$6</f>
        <v>25.625759881559361</v>
      </c>
      <c r="J196" s="16">
        <f>(ReverseDCF!$J$182-Assumptions!$I$22)*(1-Assumptions!$C$10)/Assumptions!$C$6</f>
        <v>29.907128092095427</v>
      </c>
      <c r="K196" s="2"/>
    </row>
    <row r="197" spans="1:11" x14ac:dyDescent="0.2">
      <c r="A197" s="3" t="s">
        <v>409</v>
      </c>
      <c r="B197" s="9" t="s">
        <v>56</v>
      </c>
      <c r="C197" s="2"/>
      <c r="D197" s="2"/>
      <c r="E197" s="2"/>
      <c r="F197" s="2"/>
      <c r="G197" s="2"/>
      <c r="H197" s="2"/>
      <c r="I197" s="2"/>
      <c r="J197" s="11">
        <f>SUM(D195:J195)</f>
        <v>6484.6114347047696</v>
      </c>
      <c r="K197" s="2"/>
    </row>
    <row r="198" spans="1:11" x14ac:dyDescent="0.2">
      <c r="A198" s="3" t="s">
        <v>410</v>
      </c>
      <c r="B198" s="9" t="s">
        <v>56</v>
      </c>
      <c r="C198" s="2"/>
      <c r="D198" s="2"/>
      <c r="E198" s="2"/>
      <c r="F198" s="2"/>
      <c r="G198" s="2"/>
      <c r="H198" s="2"/>
      <c r="I198" s="2"/>
      <c r="J198" s="11">
        <f>ReverseDCF!$J$188*(1+Assumptions!$C$24)*(1-Assumptions!$C$24/Assumptions!$C$25)/(WACC!$C$14-Assumptions!$C$24)</f>
        <v>136589.42451544848</v>
      </c>
      <c r="K198" s="2"/>
    </row>
    <row r="199" spans="1:11" x14ac:dyDescent="0.2">
      <c r="A199" s="3" t="s">
        <v>411</v>
      </c>
      <c r="B199" s="9" t="s">
        <v>192</v>
      </c>
      <c r="C199" s="2"/>
      <c r="D199" s="2"/>
      <c r="E199" s="2"/>
      <c r="F199" s="2"/>
      <c r="G199" s="2"/>
      <c r="H199" s="2"/>
      <c r="I199" s="2"/>
      <c r="J199" s="14">
        <f>Multiples!$C$52</f>
        <v>6.2149083769633506</v>
      </c>
      <c r="K199" s="9" t="s">
        <v>412</v>
      </c>
    </row>
    <row r="200" spans="1:11" x14ac:dyDescent="0.2">
      <c r="A200" s="3" t="s">
        <v>413</v>
      </c>
      <c r="B200" s="9" t="s">
        <v>56</v>
      </c>
      <c r="C200" s="2"/>
      <c r="D200" s="2"/>
      <c r="E200" s="2"/>
      <c r="F200" s="2"/>
      <c r="G200" s="2"/>
      <c r="H200" s="2"/>
      <c r="I200" s="2"/>
      <c r="J200" s="11">
        <f>ReverseDCF!$J$199*ReverseDCF!$J$185</f>
        <v>120709.47493317444</v>
      </c>
      <c r="K200" s="2"/>
    </row>
    <row r="201" spans="1:11" x14ac:dyDescent="0.2">
      <c r="A201" s="3" t="s">
        <v>414</v>
      </c>
      <c r="B201" s="9" t="s">
        <v>192</v>
      </c>
      <c r="C201" s="2"/>
      <c r="D201" s="2"/>
      <c r="E201" s="2"/>
      <c r="F201" s="2"/>
      <c r="G201" s="2"/>
      <c r="H201" s="2"/>
      <c r="I201" s="2"/>
      <c r="J201" s="30">
        <f>1/(1+WACC!$C$14)^6.5</f>
        <v>0.58830530726425412</v>
      </c>
      <c r="K201" s="2"/>
    </row>
    <row r="202" spans="1:11" x14ac:dyDescent="0.2">
      <c r="A202" s="3" t="s">
        <v>415</v>
      </c>
      <c r="B202" s="9" t="s">
        <v>56</v>
      </c>
      <c r="C202" s="2"/>
      <c r="D202" s="2"/>
      <c r="E202" s="2"/>
      <c r="F202" s="2"/>
      <c r="G202" s="2"/>
      <c r="H202" s="2"/>
      <c r="I202" s="2"/>
      <c r="J202" s="11">
        <f>ReverseDCF!$J$197+ReverseDCF!$J$198*ReverseDCF!$J$201</f>
        <v>86840.894793313331</v>
      </c>
      <c r="K202" s="2"/>
    </row>
    <row r="203" spans="1:11" x14ac:dyDescent="0.2">
      <c r="A203" s="3" t="s">
        <v>416</v>
      </c>
      <c r="B203" s="9" t="s">
        <v>56</v>
      </c>
      <c r="C203" s="2"/>
      <c r="D203" s="2"/>
      <c r="E203" s="2"/>
      <c r="F203" s="2"/>
      <c r="G203" s="2"/>
      <c r="H203" s="2"/>
      <c r="I203" s="2"/>
      <c r="J203" s="11">
        <f>ReverseDCF!$J$197+ReverseDCF!$J$200*ReverseDCF!$J$201</f>
        <v>77498.636174972737</v>
      </c>
      <c r="K203" s="2"/>
    </row>
    <row r="204" spans="1:11" x14ac:dyDescent="0.2">
      <c r="A204" s="3" t="s">
        <v>417</v>
      </c>
      <c r="B204" s="9" t="s">
        <v>150</v>
      </c>
      <c r="C204" s="2"/>
      <c r="D204" s="2"/>
      <c r="E204" s="2"/>
      <c r="F204" s="2"/>
      <c r="G204" s="2"/>
      <c r="H204" s="2"/>
      <c r="I204" s="2"/>
      <c r="J204" s="22">
        <f>ReverseDCF!$J$198*ReverseDCF!$J$201/ReverseDCF!$J$202</f>
        <v>0.92532767597410714</v>
      </c>
      <c r="K204" s="2"/>
    </row>
    <row r="205" spans="1:11" x14ac:dyDescent="0.2">
      <c r="A205" s="3" t="s">
        <v>418</v>
      </c>
      <c r="B205" s="9" t="s">
        <v>91</v>
      </c>
      <c r="C205" s="2"/>
      <c r="D205" s="2"/>
      <c r="E205" s="2"/>
      <c r="F205" s="2"/>
      <c r="G205" s="2"/>
      <c r="H205" s="2"/>
      <c r="I205" s="2"/>
      <c r="J205" s="16">
        <f>(ReverseDCF!$J$202-WACC!$C$15+Assumptions!$C$11)/Assumptions!$C$6</f>
        <v>216.58265399054906</v>
      </c>
      <c r="K205" s="2"/>
    </row>
    <row r="206" spans="1:11" x14ac:dyDescent="0.2">
      <c r="A206" s="3" t="s">
        <v>419</v>
      </c>
      <c r="B206" s="9" t="s">
        <v>91</v>
      </c>
      <c r="C206" s="2"/>
      <c r="D206" s="2"/>
      <c r="E206" s="2"/>
      <c r="F206" s="2"/>
      <c r="G206" s="2"/>
      <c r="H206" s="2"/>
      <c r="I206" s="2"/>
      <c r="J206" s="16">
        <f>(ReverseDCF!$J$203-WACC!$C$15+Assumptions!$C$11)/Assumptions!$C$6</f>
        <v>187.97806544694652</v>
      </c>
      <c r="K206" s="2"/>
    </row>
    <row r="207" spans="1:11" x14ac:dyDescent="0.2">
      <c r="A207" s="4" t="s">
        <v>420</v>
      </c>
      <c r="B207" s="9" t="s">
        <v>91</v>
      </c>
      <c r="C207" s="2"/>
      <c r="D207" s="2"/>
      <c r="E207" s="2"/>
      <c r="F207" s="2"/>
      <c r="G207" s="2"/>
      <c r="H207" s="2"/>
      <c r="I207" s="2"/>
      <c r="J207" s="31">
        <f>Assumptions!$C$13*ReverseDCF!$J$205+(1-Assumptions!$C$13)*ReverseDCF!$J$206</f>
        <v>202.28035971874777</v>
      </c>
      <c r="K207" s="2"/>
    </row>
    <row r="208" spans="1:11" x14ac:dyDescent="0.2">
      <c r="A208" s="3" t="s">
        <v>421</v>
      </c>
      <c r="B208" s="9" t="s">
        <v>192</v>
      </c>
      <c r="C208" s="2"/>
      <c r="D208" s="2"/>
      <c r="E208" s="2"/>
      <c r="F208" s="2"/>
      <c r="G208" s="2"/>
      <c r="H208" s="2"/>
      <c r="I208" s="2"/>
      <c r="J208" s="14">
        <f>ReverseDCF!$J$198/ReverseDCF!$J$185</f>
        <v>7.0325114005807379</v>
      </c>
      <c r="K208" s="2"/>
    </row>
    <row r="209" spans="1:1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x14ac:dyDescent="0.2">
      <c r="A210" s="5" t="s">
        <v>432</v>
      </c>
      <c r="B210" s="5"/>
      <c r="C210" s="6" t="s">
        <v>388</v>
      </c>
      <c r="D210" s="6" t="s">
        <v>217</v>
      </c>
      <c r="E210" s="6" t="s">
        <v>218</v>
      </c>
      <c r="F210" s="6" t="s">
        <v>219</v>
      </c>
      <c r="G210" s="6" t="s">
        <v>220</v>
      </c>
      <c r="H210" s="6" t="s">
        <v>221</v>
      </c>
      <c r="I210" s="6" t="s">
        <v>222</v>
      </c>
      <c r="J210" s="6" t="s">
        <v>223</v>
      </c>
      <c r="K210" s="6"/>
    </row>
    <row r="211" spans="1:11" x14ac:dyDescent="0.2">
      <c r="A211" s="3" t="s">
        <v>433</v>
      </c>
      <c r="B211" s="9" t="s">
        <v>91</v>
      </c>
      <c r="C211" s="2"/>
      <c r="D211" s="16">
        <f>ReverseDCF!$J$43</f>
        <v>4.1456048564539731</v>
      </c>
      <c r="E211" s="16">
        <f>ReverseDCF!$J$84</f>
        <v>52.001763225700451</v>
      </c>
      <c r="F211" s="16">
        <f>ReverseDCF!$J$125</f>
        <v>100.96216385919419</v>
      </c>
      <c r="G211" s="16">
        <f>ReverseDCF!$J$166</f>
        <v>151.04789738860131</v>
      </c>
      <c r="H211" s="16">
        <f>ReverseDCF!$J$207</f>
        <v>202.28035971874777</v>
      </c>
      <c r="I211" s="2"/>
      <c r="J211" s="2"/>
      <c r="K211" s="2"/>
    </row>
    <row r="212" spans="1:11" x14ac:dyDescent="0.2">
      <c r="A212" s="3" t="s">
        <v>434</v>
      </c>
      <c r="B212" s="9" t="s">
        <v>150</v>
      </c>
      <c r="C212" s="2"/>
      <c r="D212" s="18">
        <f>ReverseDCF!$J$19</f>
        <v>3.634304311434821E-2</v>
      </c>
      <c r="E212" s="18">
        <f>ReverseDCF!$J$60</f>
        <v>6.1188368842414832E-2</v>
      </c>
      <c r="F212" s="18">
        <f>ReverseDCF!$J$101</f>
        <v>8.5178933949288993E-2</v>
      </c>
      <c r="G212" s="18">
        <f>ReverseDCF!$J$142</f>
        <v>0.10834822208295879</v>
      </c>
      <c r="H212" s="18">
        <f>ReverseDCF!$J$183</f>
        <v>0.13072824738305824</v>
      </c>
      <c r="I212" s="2"/>
      <c r="J212" s="2"/>
      <c r="K212" s="2"/>
    </row>
    <row r="213" spans="1:11" x14ac:dyDescent="0.2">
      <c r="A213" s="4" t="s">
        <v>435</v>
      </c>
      <c r="B213" s="9" t="s">
        <v>436</v>
      </c>
      <c r="C213" s="2"/>
      <c r="D213" s="33">
        <f>IF(AND(Assumptions!$C$5&gt;=ReverseDCF!$D$211,Assumptions!$C$5&lt;=ReverseDCF!$E$211),ReverseDCF!$D$4+(Assumptions!$C$5-ReverseDCF!$D$211)/(ReverseDCF!$E$211-ReverseDCF!$D$211)*(ReverseDCF!$E$4-ReverseDCF!$D$4),IF(AND(Assumptions!$C$5&gt;=ReverseDCF!$E$211,Assumptions!$C$5&lt;=ReverseDCF!$F$211),ReverseDCF!$E$4+(Assumptions!$C$5-ReverseDCF!$E$211)/(ReverseDCF!$F$211-ReverseDCF!$E$211)*(ReverseDCF!$F$4-ReverseDCF!$E$4),IF(AND(Assumptions!$C$5&gt;=ReverseDCF!$F$211,Assumptions!$C$5&lt;=ReverseDCF!$G$211),ReverseDCF!$F$4+(Assumptions!$C$5-ReverseDCF!$F$211)/(ReverseDCF!$G$211-ReverseDCF!$F$211)*(ReverseDCF!$G$4-ReverseDCF!$F$4),IF(AND(Assumptions!$C$5&gt;=ReverseDCF!$G$211,Assumptions!$C$5&lt;=ReverseDCF!$H$211),ReverseDCF!$G$4+(Assumptions!$C$5-ReverseDCF!$G$211)/(ReverseDCF!$H$211-ReverseDCF!$G$211)*(ReverseDCF!$H$4-ReverseDCF!$G$4),"вне сетки"))))</f>
        <v>2.2639542051173961E-4</v>
      </c>
      <c r="E213" s="2"/>
      <c r="F213" s="2"/>
      <c r="G213" s="2"/>
      <c r="H213" s="2"/>
      <c r="I213" s="2"/>
      <c r="J213" s="2"/>
      <c r="K213" s="9" t="s">
        <v>437</v>
      </c>
    </row>
    <row r="214" spans="1:11" x14ac:dyDescent="0.2">
      <c r="A214" s="4" t="s">
        <v>438</v>
      </c>
      <c r="B214" s="9" t="s">
        <v>150</v>
      </c>
      <c r="C214" s="2"/>
      <c r="D214" s="34">
        <f>IF(AND(Assumptions!$C$5&gt;=ReverseDCF!$D$211,Assumptions!$C$5&lt;=ReverseDCF!$E$211),ReverseDCF!$D$212+(Assumptions!$C$5-ReverseDCF!$D$211)/(ReverseDCF!$E$211-ReverseDCF!$D$211)*(ReverseDCF!$E$212-ReverseDCF!$D$212),IF(AND(Assumptions!$C$5&gt;=ReverseDCF!$E$211,Assumptions!$C$5&lt;=ReverseDCF!$F$211),ReverseDCF!$E$212+(Assumptions!$C$5-ReverseDCF!$E$211)/(ReverseDCF!$F$211-ReverseDCF!$E$211)*(ReverseDCF!$F$212-ReverseDCF!$E$212),IF(AND(Assumptions!$C$5&gt;=ReverseDCF!$F$211,Assumptions!$C$5&lt;=ReverseDCF!$G$211),ReverseDCF!$F$212+(Assumptions!$C$5-ReverseDCF!$F$211)/(ReverseDCF!$G$211-ReverseDCF!$F$211)*(ReverseDCF!$G$212-ReverseDCF!$F$212),IF(AND(Assumptions!$C$5&gt;=ReverseDCF!$G$211,Assumptions!$C$5&lt;=ReverseDCF!$H$211),ReverseDCF!$G$212+(Assumptions!$C$5-ReverseDCF!$G$211)/(ReverseDCF!$H$211-ReverseDCF!$G$211)*(ReverseDCF!$H$212-ReverseDCF!$G$212),"вне сетки"))))</f>
        <v>8.6228018095284964E-2</v>
      </c>
      <c r="E214" s="2"/>
      <c r="F214" s="2"/>
      <c r="G214" s="2"/>
      <c r="H214" s="2"/>
      <c r="I214" s="2"/>
      <c r="J214" s="2"/>
      <c r="K214" s="9" t="s">
        <v>439</v>
      </c>
    </row>
    <row r="215" spans="1:11" x14ac:dyDescent="0.2">
      <c r="A215" s="3" t="s">
        <v>440</v>
      </c>
      <c r="B215" s="9" t="s">
        <v>150</v>
      </c>
      <c r="C215" s="2"/>
      <c r="D215" s="18">
        <f>Metrics!$I$54</f>
        <v>8.634169268798178E-2</v>
      </c>
      <c r="E215" s="2"/>
      <c r="F215" s="2"/>
      <c r="G215" s="2"/>
      <c r="H215" s="2"/>
      <c r="I215" s="2"/>
      <c r="J215" s="2"/>
      <c r="K215" s="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65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6" customWidth="1"/>
    <col min="2" max="2" width="9" customWidth="1"/>
    <col min="3" max="9" width="11" customWidth="1"/>
    <col min="10" max="10" width="70" customWidth="1"/>
  </cols>
  <sheetData>
    <row r="1" spans="1:10" ht="16" x14ac:dyDescent="0.2">
      <c r="A1" s="1" t="s">
        <v>441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2">
      <c r="A3" s="5" t="s">
        <v>21</v>
      </c>
      <c r="B3" s="5" t="s">
        <v>22</v>
      </c>
      <c r="C3" s="6" t="s">
        <v>442</v>
      </c>
      <c r="D3" s="6" t="s">
        <v>443</v>
      </c>
      <c r="E3" s="6" t="s">
        <v>444</v>
      </c>
      <c r="F3" s="6" t="s">
        <v>445</v>
      </c>
      <c r="G3" s="6" t="s">
        <v>446</v>
      </c>
      <c r="H3" s="6" t="s">
        <v>447</v>
      </c>
      <c r="I3" s="6" t="s">
        <v>448</v>
      </c>
      <c r="J3" s="6" t="s">
        <v>33</v>
      </c>
    </row>
    <row r="4" spans="1:10" x14ac:dyDescent="0.2">
      <c r="A4" s="7" t="s">
        <v>449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3" t="s">
        <v>450</v>
      </c>
      <c r="B5" s="9" t="s">
        <v>91</v>
      </c>
      <c r="C5" s="12">
        <v>103.23</v>
      </c>
      <c r="D5" s="12">
        <v>79.569999999999993</v>
      </c>
      <c r="E5" s="12">
        <v>12.5</v>
      </c>
      <c r="F5" s="12">
        <v>40.65</v>
      </c>
      <c r="G5" s="12">
        <v>37.81</v>
      </c>
      <c r="H5" s="12">
        <v>3.35</v>
      </c>
      <c r="I5" s="2"/>
      <c r="J5" s="9" t="s">
        <v>451</v>
      </c>
    </row>
    <row r="6" spans="1:10" x14ac:dyDescent="0.2">
      <c r="A6" s="3" t="s">
        <v>452</v>
      </c>
      <c r="B6" s="9" t="s">
        <v>36</v>
      </c>
      <c r="C6" s="13">
        <v>326.60000000000002</v>
      </c>
      <c r="D6" s="13">
        <v>657.91200000000003</v>
      </c>
      <c r="E6" s="13">
        <v>661.97</v>
      </c>
      <c r="F6" s="13">
        <v>489.20800000000003</v>
      </c>
      <c r="G6" s="13">
        <v>111.60299999999999</v>
      </c>
      <c r="H6" s="13">
        <v>377.31200000000001</v>
      </c>
      <c r="I6" s="2"/>
      <c r="J6" s="9" t="s">
        <v>453</v>
      </c>
    </row>
    <row r="7" spans="1:10" x14ac:dyDescent="0.2">
      <c r="A7" s="3" t="s">
        <v>454</v>
      </c>
      <c r="B7" s="9" t="s">
        <v>56</v>
      </c>
      <c r="C7" s="10">
        <v>62902</v>
      </c>
      <c r="D7" s="10">
        <v>68287</v>
      </c>
      <c r="E7" s="10">
        <v>58337</v>
      </c>
      <c r="F7" s="10">
        <v>30073</v>
      </c>
      <c r="G7" s="10">
        <v>14763</v>
      </c>
      <c r="H7" s="10">
        <v>9503</v>
      </c>
      <c r="I7" s="2"/>
      <c r="J7" s="9" t="s">
        <v>455</v>
      </c>
    </row>
    <row r="8" spans="1:10" x14ac:dyDescent="0.2">
      <c r="A8" s="3" t="s">
        <v>456</v>
      </c>
      <c r="B8" s="9" t="s">
        <v>56</v>
      </c>
      <c r="C8" s="10">
        <v>4874</v>
      </c>
      <c r="D8" s="10">
        <v>5516</v>
      </c>
      <c r="E8" s="10">
        <v>1008</v>
      </c>
      <c r="F8" s="10">
        <v>1041</v>
      </c>
      <c r="G8" s="10">
        <v>-224</v>
      </c>
      <c r="H8" s="10">
        <v>-565</v>
      </c>
      <c r="I8" s="2"/>
      <c r="J8" s="9" t="s">
        <v>457</v>
      </c>
    </row>
    <row r="9" spans="1:10" x14ac:dyDescent="0.2">
      <c r="A9" s="3" t="s">
        <v>458</v>
      </c>
      <c r="B9" s="9" t="s">
        <v>56</v>
      </c>
      <c r="C9" s="10">
        <v>2996</v>
      </c>
      <c r="D9" s="10">
        <v>2525</v>
      </c>
      <c r="E9" s="10">
        <v>1899</v>
      </c>
      <c r="F9" s="10">
        <v>1565</v>
      </c>
      <c r="G9" s="10">
        <v>813</v>
      </c>
      <c r="H9" s="10">
        <v>711</v>
      </c>
      <c r="I9" s="2"/>
      <c r="J9" s="9" t="s">
        <v>459</v>
      </c>
    </row>
    <row r="10" spans="1:10" x14ac:dyDescent="0.2">
      <c r="A10" s="3" t="s">
        <v>460</v>
      </c>
      <c r="B10" s="9" t="s">
        <v>56</v>
      </c>
      <c r="C10" s="10">
        <v>329</v>
      </c>
      <c r="D10" s="10">
        <v>579</v>
      </c>
      <c r="E10" s="10">
        <v>1237</v>
      </c>
      <c r="F10" s="10">
        <v>0</v>
      </c>
      <c r="G10" s="10">
        <v>249</v>
      </c>
      <c r="H10" s="10">
        <v>65</v>
      </c>
      <c r="I10" s="2"/>
      <c r="J10" s="9" t="s">
        <v>461</v>
      </c>
    </row>
    <row r="11" spans="1:10" x14ac:dyDescent="0.2">
      <c r="A11" s="3" t="s">
        <v>462</v>
      </c>
      <c r="B11" s="9" t="s">
        <v>56</v>
      </c>
      <c r="C11" s="10">
        <v>3496</v>
      </c>
      <c r="D11" s="10">
        <v>3950</v>
      </c>
      <c r="E11" s="10">
        <v>-326</v>
      </c>
      <c r="F11" s="10">
        <v>837</v>
      </c>
      <c r="G11" s="10">
        <v>-175</v>
      </c>
      <c r="H11" s="10">
        <v>-886</v>
      </c>
      <c r="I11" s="2"/>
      <c r="J11" s="9" t="s">
        <v>88</v>
      </c>
    </row>
    <row r="12" spans="1:10" x14ac:dyDescent="0.2">
      <c r="A12" s="3" t="s">
        <v>463</v>
      </c>
      <c r="B12" s="9" t="s">
        <v>56</v>
      </c>
      <c r="C12" s="10">
        <v>8913</v>
      </c>
      <c r="D12" s="10">
        <v>8134</v>
      </c>
      <c r="E12" s="10">
        <v>4374</v>
      </c>
      <c r="F12" s="10">
        <v>2528</v>
      </c>
      <c r="G12" s="10">
        <v>1020</v>
      </c>
      <c r="H12" s="10">
        <v>-128</v>
      </c>
      <c r="I12" s="2"/>
      <c r="J12" s="9" t="s">
        <v>459</v>
      </c>
    </row>
    <row r="13" spans="1:10" x14ac:dyDescent="0.2">
      <c r="A13" s="3" t="s">
        <v>464</v>
      </c>
      <c r="B13" s="9" t="s">
        <v>56</v>
      </c>
      <c r="C13" s="10">
        <v>6369</v>
      </c>
      <c r="D13" s="10">
        <v>4724</v>
      </c>
      <c r="E13" s="10">
        <v>4089</v>
      </c>
      <c r="F13" s="10">
        <v>2934</v>
      </c>
      <c r="G13" s="10">
        <v>1154</v>
      </c>
      <c r="H13" s="10">
        <v>953</v>
      </c>
      <c r="I13" s="2"/>
      <c r="J13" s="9" t="s">
        <v>465</v>
      </c>
    </row>
    <row r="14" spans="1:10" x14ac:dyDescent="0.2">
      <c r="A14" s="3" t="s">
        <v>466</v>
      </c>
      <c r="B14" s="9" t="s">
        <v>56</v>
      </c>
      <c r="C14" s="10">
        <v>26464</v>
      </c>
      <c r="D14" s="10">
        <v>13952</v>
      </c>
      <c r="E14" s="10">
        <v>28927</v>
      </c>
      <c r="F14" s="10">
        <v>5946</v>
      </c>
      <c r="G14" s="10">
        <v>6235</v>
      </c>
      <c r="H14" s="10">
        <v>8478</v>
      </c>
      <c r="I14" s="2"/>
      <c r="J14" s="9" t="s">
        <v>467</v>
      </c>
    </row>
    <row r="15" spans="1:10" x14ac:dyDescent="0.2">
      <c r="A15" s="3" t="s">
        <v>468</v>
      </c>
      <c r="B15" s="9" t="s">
        <v>56</v>
      </c>
      <c r="C15" s="10">
        <v>7204</v>
      </c>
      <c r="D15" s="10">
        <v>6032</v>
      </c>
      <c r="E15" s="10">
        <v>6802</v>
      </c>
      <c r="F15" s="10">
        <v>943</v>
      </c>
      <c r="G15" s="10">
        <v>1381</v>
      </c>
      <c r="H15" s="10">
        <v>908</v>
      </c>
      <c r="I15" s="2"/>
      <c r="J15" s="9" t="s">
        <v>469</v>
      </c>
    </row>
    <row r="16" spans="1:10" x14ac:dyDescent="0.2">
      <c r="A16" s="3" t="s">
        <v>470</v>
      </c>
      <c r="B16" s="9" t="s">
        <v>56</v>
      </c>
      <c r="C16" s="10">
        <v>1074</v>
      </c>
      <c r="D16" s="10">
        <v>3066</v>
      </c>
      <c r="E16" s="10">
        <v>1160</v>
      </c>
      <c r="F16" s="10">
        <v>321</v>
      </c>
      <c r="G16" s="10">
        <v>349</v>
      </c>
      <c r="H16" s="10">
        <v>0</v>
      </c>
      <c r="I16" s="2"/>
      <c r="J16" s="9" t="s">
        <v>471</v>
      </c>
    </row>
    <row r="17" spans="1:10" x14ac:dyDescent="0.2">
      <c r="A17" s="3" t="s">
        <v>472</v>
      </c>
      <c r="B17" s="9" t="s">
        <v>56</v>
      </c>
      <c r="C17" s="10">
        <v>16637</v>
      </c>
      <c r="D17" s="10">
        <v>4665</v>
      </c>
      <c r="E17" s="10">
        <v>7770</v>
      </c>
      <c r="F17" s="10">
        <v>3791</v>
      </c>
      <c r="G17" s="10">
        <v>2662</v>
      </c>
      <c r="H17" s="10">
        <v>2020</v>
      </c>
      <c r="I17" s="2"/>
      <c r="J17" s="9" t="s">
        <v>473</v>
      </c>
    </row>
    <row r="18" spans="1:10" x14ac:dyDescent="0.2">
      <c r="A18" s="3" t="s">
        <v>127</v>
      </c>
      <c r="B18" s="9" t="s">
        <v>56</v>
      </c>
      <c r="C18" s="10">
        <v>16697</v>
      </c>
      <c r="D18" s="10">
        <v>21815</v>
      </c>
      <c r="E18" s="10">
        <v>-3972</v>
      </c>
      <c r="F18" s="10">
        <v>7082</v>
      </c>
      <c r="G18" s="10">
        <v>3670</v>
      </c>
      <c r="H18" s="10">
        <v>1587</v>
      </c>
      <c r="I18" s="2"/>
      <c r="J18" s="9" t="s">
        <v>128</v>
      </c>
    </row>
    <row r="19" spans="1:10" x14ac:dyDescent="0.2">
      <c r="A19" s="3" t="s">
        <v>474</v>
      </c>
      <c r="B19" s="9" t="s">
        <v>91</v>
      </c>
      <c r="C19" s="12">
        <v>7.92</v>
      </c>
      <c r="D19" s="12">
        <v>5.35</v>
      </c>
      <c r="E19" s="12">
        <v>0</v>
      </c>
      <c r="F19" s="2"/>
      <c r="G19" s="2"/>
      <c r="H19" s="2"/>
      <c r="I19" s="2"/>
      <c r="J19" s="9" t="s">
        <v>475</v>
      </c>
    </row>
    <row r="20" spans="1:10" x14ac:dyDescent="0.2">
      <c r="A20" s="7" t="s">
        <v>476</v>
      </c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2">
      <c r="A21" s="3" t="s">
        <v>477</v>
      </c>
      <c r="B21" s="9" t="s">
        <v>56</v>
      </c>
      <c r="C21" s="11">
        <f>Multiples!$C$5*Multiples!$C$6</f>
        <v>33714.918000000005</v>
      </c>
      <c r="D21" s="11">
        <f>Multiples!$D$5*Multiples!$D$6</f>
        <v>52350.057840000001</v>
      </c>
      <c r="E21" s="11">
        <f>Multiples!$E$5*Multiples!$E$6</f>
        <v>8274.625</v>
      </c>
      <c r="F21" s="11">
        <f>Multiples!$F$5*Multiples!$F$6</f>
        <v>19886.305199999999</v>
      </c>
      <c r="G21" s="11">
        <f>Multiples!$G$5*Multiples!$G$6</f>
        <v>4219.7094299999999</v>
      </c>
      <c r="H21" s="11">
        <f>Multiples!$H$5*Multiples!$H$6</f>
        <v>1263.9952000000001</v>
      </c>
      <c r="I21" s="2"/>
      <c r="J21" s="2"/>
    </row>
    <row r="22" spans="1:10" x14ac:dyDescent="0.2">
      <c r="A22" s="3" t="s">
        <v>478</v>
      </c>
      <c r="B22" s="9" t="s">
        <v>56</v>
      </c>
      <c r="C22" s="11">
        <f>Multiples!$C$21+Multiples!$C$14+Multiples!$C$15+Multiples!$C$16-Multiples!$C$17</f>
        <v>51819.918000000005</v>
      </c>
      <c r="D22" s="11">
        <f>Multiples!$D$21+Multiples!$D$14+Multiples!$D$15+Multiples!$D$16-Multiples!$D$17</f>
        <v>70735.057839999994</v>
      </c>
      <c r="E22" s="11">
        <f>Multiples!$E$21+Multiples!$E$14+Multiples!$E$15+Multiples!$E$16-Multiples!$E$17</f>
        <v>37393.625</v>
      </c>
      <c r="F22" s="11">
        <f>Multiples!$F$21+Multiples!$F$14+Multiples!$F$15+Multiples!$F$16-Multiples!$F$17</f>
        <v>23305.305199999999</v>
      </c>
      <c r="G22" s="11">
        <f>Multiples!$G$21+Multiples!$G$14+Multiples!$G$15+Multiples!$G$16-Multiples!$G$17</f>
        <v>9522.709429999999</v>
      </c>
      <c r="H22" s="11">
        <f>Multiples!$H$21+Multiples!$H$14+Multiples!$H$15+Multiples!$H$16-Multiples!$H$17</f>
        <v>8629.9951999999994</v>
      </c>
      <c r="I22" s="2"/>
      <c r="J22" s="2"/>
    </row>
    <row r="23" spans="1:10" x14ac:dyDescent="0.2">
      <c r="A23" s="3" t="s">
        <v>479</v>
      </c>
      <c r="B23" s="9" t="s">
        <v>56</v>
      </c>
      <c r="C23" s="11">
        <f>Multiples!$C$8+Multiples!$C$9+Multiples!$C$10</f>
        <v>8199</v>
      </c>
      <c r="D23" s="11">
        <f>Multiples!$D$8+Multiples!$D$9+Multiples!$D$10</f>
        <v>8620</v>
      </c>
      <c r="E23" s="11">
        <f>Multiples!$E$8+Multiples!$E$9+Multiples!$E$10</f>
        <v>4144</v>
      </c>
      <c r="F23" s="11">
        <f>Multiples!$F$8+Multiples!$F$9+Multiples!$F$10</f>
        <v>2606</v>
      </c>
      <c r="G23" s="11">
        <f>Multiples!$G$8+Multiples!$G$9+Multiples!$G$10</f>
        <v>838</v>
      </c>
      <c r="H23" s="11">
        <f>Multiples!$H$8+Multiples!$H$9+Multiples!$H$10</f>
        <v>211</v>
      </c>
      <c r="I23" s="2"/>
      <c r="J23" s="2"/>
    </row>
    <row r="24" spans="1:10" x14ac:dyDescent="0.2">
      <c r="A24" s="3" t="s">
        <v>480</v>
      </c>
      <c r="B24" s="9" t="s">
        <v>192</v>
      </c>
      <c r="C24" s="14">
        <f>IF(Multiples!$C$23&gt;0,Multiples!$C$22/Multiples!$C$23,"н/п")</f>
        <v>6.3202729601170882</v>
      </c>
      <c r="D24" s="14">
        <f>IF(Multiples!$D$23&gt;0,Multiples!$D$22/Multiples!$D$23,"н/п")</f>
        <v>8.2059231832946633</v>
      </c>
      <c r="E24" s="14">
        <f>IF(Multiples!$E$23&gt;0,Multiples!$E$22/Multiples!$E$23,"н/п")</f>
        <v>9.0235581563706564</v>
      </c>
      <c r="F24" s="14">
        <f>IF(Multiples!$F$23&gt;0,Multiples!$F$22/Multiples!$F$23,"н/п")</f>
        <v>8.9429413660782799</v>
      </c>
      <c r="G24" s="14">
        <f>IF(Multiples!$G$23&gt;0,Multiples!$G$22/Multiples!$G$23,"н/п")</f>
        <v>11.363615071599044</v>
      </c>
      <c r="H24" s="14">
        <f>IF(Multiples!$H$23&gt;0,Multiples!$H$22/Multiples!$H$23,"н/п")</f>
        <v>40.900451184834118</v>
      </c>
      <c r="I24" s="14">
        <f>MEDIAN(D24:H24)</f>
        <v>9.0235581563706564</v>
      </c>
      <c r="J24" s="9" t="s">
        <v>130</v>
      </c>
    </row>
    <row r="25" spans="1:10" x14ac:dyDescent="0.2">
      <c r="A25" s="3" t="s">
        <v>481</v>
      </c>
      <c r="B25" s="9" t="s">
        <v>192</v>
      </c>
      <c r="C25" s="16">
        <f>Multiples!$C$22/Multiples!$C$7</f>
        <v>0.82381987854122296</v>
      </c>
      <c r="D25" s="16">
        <f>Multiples!$D$22/Multiples!$D$7</f>
        <v>1.0358495444228037</v>
      </c>
      <c r="E25" s="16">
        <f>Multiples!$E$22/Multiples!$E$7</f>
        <v>0.64099328042237347</v>
      </c>
      <c r="F25" s="16">
        <f>Multiples!$F$22/Multiples!$F$7</f>
        <v>0.7749577760782097</v>
      </c>
      <c r="G25" s="16">
        <f>Multiples!$G$22/Multiples!$G$7</f>
        <v>0.64503891011312053</v>
      </c>
      <c r="H25" s="16">
        <f>Multiples!$H$22/Multiples!$H$7</f>
        <v>0.90813376828369985</v>
      </c>
      <c r="I25" s="16">
        <f>MEDIAN(D25:H25)</f>
        <v>0.7749577760782097</v>
      </c>
      <c r="J25" s="9" t="s">
        <v>130</v>
      </c>
    </row>
    <row r="26" spans="1:10" x14ac:dyDescent="0.2">
      <c r="A26" s="3" t="s">
        <v>482</v>
      </c>
      <c r="B26" s="9" t="s">
        <v>192</v>
      </c>
      <c r="C26" s="14">
        <f>IF(Multiples!$C$11&gt;0,Multiples!$C$21/Multiples!$C$11,"н/п")</f>
        <v>9.6438552631578958</v>
      </c>
      <c r="D26" s="14">
        <f>IF(Multiples!$D$11&gt;0,Multiples!$D$21/Multiples!$D$11,"н/п")</f>
        <v>13.2531792</v>
      </c>
      <c r="E26" s="14" t="str">
        <f>IF(Multiples!$E$11&gt;0,Multiples!$E$21/Multiples!$E$11,"н/п")</f>
        <v>н/п</v>
      </c>
      <c r="F26" s="14">
        <f>IF(Multiples!$F$11&gt;0,Multiples!$F$21/Multiples!$F$11,"н/п")</f>
        <v>23.759026523297489</v>
      </c>
      <c r="G26" s="14" t="str">
        <f>IF(Multiples!$G$11&gt;0,Multiples!$G$21/Multiples!$G$11,"н/п")</f>
        <v>н/п</v>
      </c>
      <c r="H26" s="14" t="str">
        <f>IF(Multiples!$H$11&gt;0,Multiples!$H$21/Multiples!$H$11,"н/п")</f>
        <v>н/п</v>
      </c>
      <c r="I26" s="14">
        <f>MEDIAN(D26:H26)</f>
        <v>18.506102861648746</v>
      </c>
      <c r="J26" s="9" t="s">
        <v>130</v>
      </c>
    </row>
    <row r="27" spans="1:10" x14ac:dyDescent="0.2">
      <c r="A27" s="3" t="s">
        <v>483</v>
      </c>
      <c r="B27" s="9" t="s">
        <v>192</v>
      </c>
      <c r="C27" s="14">
        <f>IF(Multiples!$C$19&gt;0,Multiples!$C$5/Multiples!$C$19,"н/п")</f>
        <v>13.03409090909091</v>
      </c>
      <c r="D27" s="14">
        <f>IF(Multiples!$D$19&gt;0,Multiples!$D$5/Multiples!$D$19,"н/п")</f>
        <v>14.872897196261682</v>
      </c>
      <c r="E27" s="14" t="str">
        <f>IF(Multiples!$E$19&gt;0,Multiples!$E$5/Multiples!$E$19,"н/п")</f>
        <v>н/п</v>
      </c>
      <c r="F27" s="2"/>
      <c r="G27" s="2"/>
      <c r="H27" s="2"/>
      <c r="I27" s="2"/>
      <c r="J27" s="9" t="s">
        <v>484</v>
      </c>
    </row>
    <row r="28" spans="1:10" x14ac:dyDescent="0.2">
      <c r="A28" s="3" t="s">
        <v>485</v>
      </c>
      <c r="B28" s="9" t="s">
        <v>150</v>
      </c>
      <c r="C28" s="18">
        <f>(Multiples!$C$12-Multiples!$C$13)/Multiples!$C$21</f>
        <v>7.5456211994939446E-2</v>
      </c>
      <c r="D28" s="18">
        <f>(Multiples!$D$12-Multiples!$D$13)/Multiples!$D$21</f>
        <v>6.5138418956902533E-2</v>
      </c>
      <c r="E28" s="18">
        <f>(Multiples!$E$12-Multiples!$E$13)/Multiples!$E$21</f>
        <v>3.4442648458389354E-2</v>
      </c>
      <c r="F28" s="18">
        <f>(Multiples!$F$12-Multiples!$F$13)/Multiples!$F$21</f>
        <v>-2.0416059992883949E-2</v>
      </c>
      <c r="G28" s="18">
        <f>(Multiples!$G$12-Multiples!$G$13)/Multiples!$G$21</f>
        <v>-3.1755741058217844E-2</v>
      </c>
      <c r="H28" s="18">
        <f>(Multiples!$H$12-Multiples!$H$13)/Multiples!$H$21</f>
        <v>-0.85522476667632907</v>
      </c>
      <c r="I28" s="18">
        <f>MEDIAN(D28:H28)</f>
        <v>-2.0416059992883949E-2</v>
      </c>
      <c r="J28" s="9" t="s">
        <v>130</v>
      </c>
    </row>
    <row r="29" spans="1:10" x14ac:dyDescent="0.2">
      <c r="A29" s="3" t="s">
        <v>486</v>
      </c>
      <c r="B29" s="9" t="s">
        <v>192</v>
      </c>
      <c r="C29" s="14">
        <f>IF(Multiples!$C$12-Multiples!$C$13&gt;0,Multiples!$C$21/(Multiples!$C$12-Multiples!$C$13),"н/п")</f>
        <v>13.252719339622644</v>
      </c>
      <c r="D29" s="14">
        <f>IF(Multiples!$D$12-Multiples!$D$13&gt;0,Multiples!$D$21/(Multiples!$D$12-Multiples!$D$13),"н/п")</f>
        <v>15.351923120234604</v>
      </c>
      <c r="E29" s="14">
        <f>IF(Multiples!$E$12-Multiples!$E$13&gt;0,Multiples!$E$21/(Multiples!$E$12-Multiples!$E$13),"н/п")</f>
        <v>29.03377192982456</v>
      </c>
      <c r="F29" s="14" t="str">
        <f>IF(Multiples!$F$12-Multiples!$F$13&gt;0,Multiples!$F$21/(Multiples!$F$12-Multiples!$F$13),"н/п")</f>
        <v>н/п</v>
      </c>
      <c r="G29" s="14" t="str">
        <f>IF(Multiples!$G$12-Multiples!$G$13&gt;0,Multiples!$G$21/(Multiples!$G$12-Multiples!$G$13),"н/п")</f>
        <v>н/п</v>
      </c>
      <c r="H29" s="14" t="str">
        <f>IF(Multiples!$H$12-Multiples!$H$13&gt;0,Multiples!$H$21/(Multiples!$H$12-Multiples!$H$13),"н/п")</f>
        <v>н/п</v>
      </c>
      <c r="I29" s="14">
        <f>MEDIAN(D29:H29)</f>
        <v>22.192847525029581</v>
      </c>
      <c r="J29" s="9" t="s">
        <v>130</v>
      </c>
    </row>
    <row r="30" spans="1:10" x14ac:dyDescent="0.2">
      <c r="A30" s="3" t="s">
        <v>487</v>
      </c>
      <c r="B30" s="9" t="s">
        <v>192</v>
      </c>
      <c r="C30" s="16">
        <f>IF(Multiples!$C$18&gt;0,Multiples!$C$21/Multiples!$C$18,"н/п")</f>
        <v>2.0192200994190577</v>
      </c>
      <c r="D30" s="16">
        <f>IF(Multiples!$D$18&gt;0,Multiples!$D$21/Multiples!$D$18,"н/п")</f>
        <v>2.3997276112766444</v>
      </c>
      <c r="E30" s="16" t="str">
        <f>IF(Multiples!$E$18&gt;0,Multiples!$E$21/Multiples!$E$18,"н/п")</f>
        <v>н/п</v>
      </c>
      <c r="F30" s="16">
        <f>IF(Multiples!$F$18&gt;0,Multiples!$F$21/Multiples!$F$18,"н/п")</f>
        <v>2.8080069471900591</v>
      </c>
      <c r="G30" s="16">
        <f>IF(Multiples!$G$18&gt;0,Multiples!$G$21/Multiples!$G$18,"н/п")</f>
        <v>1.1497845858310627</v>
      </c>
      <c r="H30" s="16">
        <f>IF(Multiples!$H$18&gt;0,Multiples!$H$21/Multiples!$H$18,"н/п")</f>
        <v>0.79646830497794585</v>
      </c>
      <c r="I30" s="16">
        <f>MEDIAN(D30:H30)</f>
        <v>1.7747560985538535</v>
      </c>
      <c r="J30" s="9" t="s">
        <v>130</v>
      </c>
    </row>
    <row r="31" spans="1:10" x14ac:dyDescent="0.2">
      <c r="A31" s="3" t="s">
        <v>488</v>
      </c>
      <c r="B31" s="9" t="s">
        <v>150</v>
      </c>
      <c r="C31" s="18">
        <f>Multiples!$C$8/Multiples!$C$7</f>
        <v>7.7485612540141802E-2</v>
      </c>
      <c r="D31" s="18">
        <f>Multiples!$D$8/Multiples!$D$7</f>
        <v>8.0776721777205032E-2</v>
      </c>
      <c r="E31" s="18">
        <f>Multiples!$E$8/Multiples!$E$7</f>
        <v>1.7278913896840772E-2</v>
      </c>
      <c r="F31" s="18">
        <f>Multiples!$F$8/Multiples!$F$7</f>
        <v>3.461576829714362E-2</v>
      </c>
      <c r="G31" s="18">
        <f>Multiples!$G$8/Multiples!$G$7</f>
        <v>-1.5173067804646752E-2</v>
      </c>
      <c r="H31" s="18">
        <f>Multiples!$H$8/Multiples!$H$7</f>
        <v>-5.9454908976112809E-2</v>
      </c>
      <c r="I31" s="18">
        <f>MEDIAN(D31:H31)</f>
        <v>1.7278913896840772E-2</v>
      </c>
      <c r="J31" s="9" t="s">
        <v>130</v>
      </c>
    </row>
    <row r="32" spans="1:10" x14ac:dyDescent="0.2">
      <c r="A32" s="3" t="s">
        <v>203</v>
      </c>
      <c r="B32" s="9" t="s">
        <v>192</v>
      </c>
      <c r="C32" s="14">
        <f>IF(Multiples!$C$23&gt;0,(Multiples!$C$22-Multiples!$C$21)/Multiples!$C$23,"н/п")</f>
        <v>2.2081961214782289</v>
      </c>
      <c r="D32" s="14">
        <f>IF(Multiples!$D$23&gt;0,(Multiples!$D$22-Multiples!$D$21)/Multiples!$D$23,"н/п")</f>
        <v>2.1328306264501151</v>
      </c>
      <c r="E32" s="14">
        <f>IF(Multiples!$E$23&gt;0,(Multiples!$E$22-Multiples!$E$21)/Multiples!$E$23,"н/п")</f>
        <v>7.0267857142857144</v>
      </c>
      <c r="F32" s="14">
        <f>IF(Multiples!$F$23&gt;0,(Multiples!$F$22-Multiples!$F$21)/Multiples!$F$23,"н/п")</f>
        <v>1.3119723714504989</v>
      </c>
      <c r="G32" s="14">
        <f>IF(Multiples!$G$23&gt;0,(Multiples!$G$22-Multiples!$G$21)/Multiples!$G$23,"н/п")</f>
        <v>6.3281622911694502</v>
      </c>
      <c r="H32" s="14">
        <f>IF(Multiples!$H$23&gt;0,(Multiples!$H$22-Multiples!$H$21)/Multiples!$H$23,"н/п")</f>
        <v>34.909952606635066</v>
      </c>
      <c r="I32" s="14">
        <f>MEDIAN(D32:H32)</f>
        <v>6.3281622911694502</v>
      </c>
      <c r="J32" s="9" t="s">
        <v>130</v>
      </c>
    </row>
    <row r="33" spans="1:10" x14ac:dyDescent="0.2">
      <c r="A33" s="9" t="s">
        <v>489</v>
      </c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">
      <c r="A34" s="9" t="s">
        <v>490</v>
      </c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">
      <c r="A35" s="9" t="s">
        <v>491</v>
      </c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">
      <c r="A37" s="5" t="s">
        <v>492</v>
      </c>
      <c r="B37" s="5" t="s">
        <v>22</v>
      </c>
      <c r="C37" s="6" t="s">
        <v>23</v>
      </c>
      <c r="D37" s="6" t="s">
        <v>26</v>
      </c>
      <c r="E37" s="6" t="s">
        <v>27</v>
      </c>
      <c r="F37" s="6" t="s">
        <v>28</v>
      </c>
      <c r="G37" s="6" t="s">
        <v>29</v>
      </c>
      <c r="H37" s="6" t="s">
        <v>493</v>
      </c>
      <c r="I37" s="6"/>
      <c r="J37" s="6" t="s">
        <v>33</v>
      </c>
    </row>
    <row r="38" spans="1:10" x14ac:dyDescent="0.2">
      <c r="A38" s="3" t="s">
        <v>494</v>
      </c>
      <c r="B38" s="9" t="s">
        <v>91</v>
      </c>
      <c r="C38" s="16">
        <f>Hist!$C$61</f>
        <v>88.09</v>
      </c>
      <c r="D38" s="16">
        <f>Hist!$F$61</f>
        <v>37.700000000000003</v>
      </c>
      <c r="E38" s="16">
        <f>Hist!$G$61</f>
        <v>41.26</v>
      </c>
      <c r="F38" s="16">
        <f>Hist!$H$61</f>
        <v>97.1</v>
      </c>
      <c r="G38" s="16">
        <f>Hist!$I$61</f>
        <v>111.82</v>
      </c>
      <c r="H38" s="16">
        <f>Assumptions!$C$5</f>
        <v>103.23</v>
      </c>
      <c r="I38" s="2"/>
      <c r="J38" s="2"/>
    </row>
    <row r="39" spans="1:10" x14ac:dyDescent="0.2">
      <c r="A39" s="3" t="s">
        <v>452</v>
      </c>
      <c r="B39" s="9" t="s">
        <v>36</v>
      </c>
      <c r="C39" s="14">
        <f>Hist!$C$60</f>
        <v>251.2</v>
      </c>
      <c r="D39" s="14">
        <f>Hist!$F$60</f>
        <v>326.89999999999998</v>
      </c>
      <c r="E39" s="14">
        <f>Hist!$G$60</f>
        <v>328</v>
      </c>
      <c r="F39" s="14">
        <f>Hist!$H$60</f>
        <v>327.9</v>
      </c>
      <c r="G39" s="14">
        <f>Hist!$I$60</f>
        <v>323.5</v>
      </c>
      <c r="H39" s="14">
        <f>Assumptions!$C$6</f>
        <v>326.60000000000002</v>
      </c>
      <c r="I39" s="2"/>
      <c r="J39" s="2"/>
    </row>
    <row r="40" spans="1:10" x14ac:dyDescent="0.2">
      <c r="A40" s="3" t="s">
        <v>477</v>
      </c>
      <c r="B40" s="9" t="s">
        <v>56</v>
      </c>
      <c r="C40" s="11">
        <f>Multiples!$C$38*Multiples!$C$39</f>
        <v>22128.207999999999</v>
      </c>
      <c r="D40" s="11">
        <f>Multiples!$D$38*Multiples!$D$39</f>
        <v>12324.13</v>
      </c>
      <c r="E40" s="11">
        <f>Multiples!$E$38*Multiples!$E$39</f>
        <v>13533.279999999999</v>
      </c>
      <c r="F40" s="11">
        <f>Multiples!$F$38*Multiples!$F$39</f>
        <v>31839.089999999997</v>
      </c>
      <c r="G40" s="11">
        <f>Multiples!$G$38*Multiples!$G$39</f>
        <v>36173.769999999997</v>
      </c>
      <c r="H40" s="11">
        <f>Multiples!$H$38*Multiples!$H$39</f>
        <v>33714.918000000005</v>
      </c>
      <c r="I40" s="2"/>
      <c r="J40" s="2"/>
    </row>
    <row r="41" spans="1:10" x14ac:dyDescent="0.2">
      <c r="A41" s="3" t="s">
        <v>201</v>
      </c>
      <c r="B41" s="9" t="s">
        <v>56</v>
      </c>
      <c r="C41" s="11">
        <f>Metrics!$C$45</f>
        <v>16952</v>
      </c>
      <c r="D41" s="11">
        <f>Metrics!$F$45</f>
        <v>22304</v>
      </c>
      <c r="E41" s="11">
        <f>Metrics!$G$45</f>
        <v>23956</v>
      </c>
      <c r="F41" s="11">
        <f>Metrics!$H$45</f>
        <v>20391</v>
      </c>
      <c r="G41" s="11">
        <f>Metrics!$I$45</f>
        <v>19854</v>
      </c>
      <c r="H41" s="11">
        <f>Metrics!$L$45</f>
        <v>18105</v>
      </c>
      <c r="I41" s="2"/>
      <c r="J41" s="9" t="s">
        <v>495</v>
      </c>
    </row>
    <row r="42" spans="1:10" x14ac:dyDescent="0.2">
      <c r="A42" s="3" t="s">
        <v>496</v>
      </c>
      <c r="B42" s="9" t="s">
        <v>56</v>
      </c>
      <c r="C42" s="11">
        <f>Multiples!$C$40+Multiples!$C$41</f>
        <v>39080.207999999999</v>
      </c>
      <c r="D42" s="11">
        <f>Multiples!$D$40+Multiples!$D$41</f>
        <v>34628.129999999997</v>
      </c>
      <c r="E42" s="11">
        <f>Multiples!$E$40+Multiples!$E$41</f>
        <v>37489.279999999999</v>
      </c>
      <c r="F42" s="11">
        <f>Multiples!$F$40+Multiples!$F$41</f>
        <v>52230.09</v>
      </c>
      <c r="G42" s="11">
        <f>Multiples!$G$40+Multiples!$G$41</f>
        <v>56027.77</v>
      </c>
      <c r="H42" s="11">
        <f>Multiples!$H$40+Multiples!$H$41</f>
        <v>51819.918000000005</v>
      </c>
      <c r="I42" s="2"/>
      <c r="J42" s="2"/>
    </row>
    <row r="43" spans="1:10" x14ac:dyDescent="0.2">
      <c r="A43" s="3" t="s">
        <v>497</v>
      </c>
      <c r="B43" s="9" t="s">
        <v>56</v>
      </c>
      <c r="C43" s="11">
        <f>Metrics!$C$30</f>
        <v>7096</v>
      </c>
      <c r="D43" s="11">
        <f>Metrics!$F$30</f>
        <v>5200</v>
      </c>
      <c r="E43" s="11">
        <f>Metrics!$G$30</f>
        <v>8135</v>
      </c>
      <c r="F43" s="11">
        <f>Metrics!$H$30</f>
        <v>8404</v>
      </c>
      <c r="G43" s="11">
        <f>Metrics!$I$30</f>
        <v>8328</v>
      </c>
      <c r="H43" s="11">
        <f>Metrics!$L$30</f>
        <v>7729</v>
      </c>
      <c r="I43" s="2"/>
      <c r="J43" s="2"/>
    </row>
    <row r="44" spans="1:10" x14ac:dyDescent="0.2">
      <c r="A44" s="3" t="s">
        <v>480</v>
      </c>
      <c r="B44" s="9" t="s">
        <v>192</v>
      </c>
      <c r="C44" s="35">
        <f>Multiples!$C$42/Multiples!$C$43</f>
        <v>5.5073573844419386</v>
      </c>
      <c r="D44" s="35">
        <f>Multiples!$D$42/Multiples!$D$43</f>
        <v>6.6592557692307688</v>
      </c>
      <c r="E44" s="35">
        <f>Multiples!$E$42/Multiples!$E$43</f>
        <v>4.6083933620159803</v>
      </c>
      <c r="F44" s="35">
        <f>Multiples!$F$42/Multiples!$F$43</f>
        <v>6.2149083769633506</v>
      </c>
      <c r="G44" s="35">
        <f>Multiples!$G$42/Multiples!$G$43</f>
        <v>6.727638088376561</v>
      </c>
      <c r="H44" s="35">
        <f>Multiples!$H$42/Multiples!$H$43</f>
        <v>6.7046083581317122</v>
      </c>
      <c r="I44" s="2"/>
      <c r="J44" s="2"/>
    </row>
    <row r="45" spans="1:10" x14ac:dyDescent="0.2">
      <c r="A45" s="3" t="s">
        <v>498</v>
      </c>
      <c r="B45" s="9" t="s">
        <v>91</v>
      </c>
      <c r="C45" s="16">
        <f>Hist!$C$37</f>
        <v>12.05</v>
      </c>
      <c r="D45" s="16">
        <f>Hist!$F$37</f>
        <v>2.52</v>
      </c>
      <c r="E45" s="16">
        <f>Hist!$G$37</f>
        <v>10.050000000000001</v>
      </c>
      <c r="F45" s="16">
        <f>Hist!$H$37</f>
        <v>10.61</v>
      </c>
      <c r="G45" s="16">
        <f>Hist!$I$37</f>
        <v>10.62</v>
      </c>
      <c r="H45" s="16">
        <f>Hist!$L$37</f>
        <v>9.0499999999999989</v>
      </c>
      <c r="I45" s="2"/>
      <c r="J45" s="2"/>
    </row>
    <row r="46" spans="1:10" x14ac:dyDescent="0.2">
      <c r="A46" s="3" t="s">
        <v>499</v>
      </c>
      <c r="B46" s="9" t="s">
        <v>192</v>
      </c>
      <c r="C46" s="14">
        <f>Multiples!$C$38/Multiples!$C$45</f>
        <v>7.3103734439834023</v>
      </c>
      <c r="D46" s="14">
        <f>Multiples!$D$38/Multiples!$D$45</f>
        <v>14.96031746031746</v>
      </c>
      <c r="E46" s="14">
        <f>Multiples!$E$38/Multiples!$E$45</f>
        <v>4.1054726368159198</v>
      </c>
      <c r="F46" s="14">
        <f>Multiples!$F$38/Multiples!$F$45</f>
        <v>9.151743638077285</v>
      </c>
      <c r="G46" s="14">
        <f>Multiples!$G$38/Multiples!$G$45</f>
        <v>10.52919020715631</v>
      </c>
      <c r="H46" s="14">
        <f>Multiples!$H$38/Multiples!$H$45</f>
        <v>11.406629834254145</v>
      </c>
      <c r="I46" s="2"/>
      <c r="J46" s="2"/>
    </row>
    <row r="47" spans="1:10" x14ac:dyDescent="0.2">
      <c r="A47" s="3" t="s">
        <v>487</v>
      </c>
      <c r="B47" s="9" t="s">
        <v>192</v>
      </c>
      <c r="C47" s="16">
        <f>Multiples!$C$40/Hist!$C$58</f>
        <v>1.9190189922816754</v>
      </c>
      <c r="D47" s="16">
        <f>Multiples!$D$40/Hist!$F$58</f>
        <v>1.7871418213457075</v>
      </c>
      <c r="E47" s="16">
        <f>Multiples!$E$40/Hist!$G$58</f>
        <v>1.4514457314457314</v>
      </c>
      <c r="F47" s="16">
        <f>Multiples!$F$40/Hist!$H$58</f>
        <v>2.5119597633136093</v>
      </c>
      <c r="G47" s="16">
        <f>Multiples!$G$40/Hist!$I$58</f>
        <v>2.3670834969244861</v>
      </c>
      <c r="H47" s="16">
        <f>Multiples!$H$40/Hist!$L$58</f>
        <v>2.0192200994190577</v>
      </c>
      <c r="I47" s="2"/>
      <c r="J47" s="2"/>
    </row>
    <row r="48" spans="1:10" x14ac:dyDescent="0.2">
      <c r="A48" s="3" t="s">
        <v>500</v>
      </c>
      <c r="B48" s="9" t="s">
        <v>150</v>
      </c>
      <c r="C48" s="18">
        <f>Metrics!$C$34/Multiples!$C$40</f>
        <v>0.10760021778537152</v>
      </c>
      <c r="D48" s="18">
        <f>Metrics!$F$34/Multiples!$D$40</f>
        <v>0.1011836129609149</v>
      </c>
      <c r="E48" s="18">
        <f>Metrics!$G$34/Multiples!$E$40</f>
        <v>-1.921189837201329E-2</v>
      </c>
      <c r="F48" s="18">
        <f>Metrics!$H$34/Multiples!$F$40</f>
        <v>0.12029238272827522</v>
      </c>
      <c r="G48" s="18">
        <f>Metrics!$I$34/Multiples!$G$40</f>
        <v>7.0686577594759964E-2</v>
      </c>
      <c r="H48" s="18">
        <f>Metrics!$L$34/Multiples!$H$40</f>
        <v>7.5456211994939446E-2</v>
      </c>
      <c r="I48" s="2"/>
      <c r="J48" s="2"/>
    </row>
    <row r="49" spans="1:10" x14ac:dyDescent="0.2">
      <c r="A49" s="3" t="s">
        <v>481</v>
      </c>
      <c r="B49" s="9" t="s">
        <v>192</v>
      </c>
      <c r="C49" s="16">
        <f>Multiples!$C$42/Hist!$C$19</f>
        <v>0.90340063339420695</v>
      </c>
      <c r="D49" s="16">
        <f>Multiples!$D$42/Hist!$F$19</f>
        <v>0.77028428428428419</v>
      </c>
      <c r="E49" s="16">
        <f>Multiples!$E$42/Hist!$G$19</f>
        <v>0.69790345700616185</v>
      </c>
      <c r="F49" s="16">
        <f>Multiples!$F$42/Hist!$H$19</f>
        <v>0.91530571473634403</v>
      </c>
      <c r="G49" s="16">
        <f>Multiples!$G$42/Hist!$I$19</f>
        <v>0.94849788386659895</v>
      </c>
      <c r="H49" s="16">
        <f>Multiples!$H$42/Hist!$L$19</f>
        <v>0.82381987854122296</v>
      </c>
      <c r="I49" s="2"/>
      <c r="J49" s="2"/>
    </row>
    <row r="50" spans="1:10" x14ac:dyDescent="0.2">
      <c r="A50" s="5" t="s">
        <v>501</v>
      </c>
      <c r="B50" s="5"/>
      <c r="C50" s="6" t="s">
        <v>502</v>
      </c>
      <c r="D50" s="6" t="s">
        <v>503</v>
      </c>
      <c r="E50" s="6" t="s">
        <v>487</v>
      </c>
      <c r="F50" s="6"/>
      <c r="G50" s="6"/>
      <c r="H50" s="6"/>
      <c r="I50" s="6"/>
      <c r="J50" s="6" t="s">
        <v>33</v>
      </c>
    </row>
    <row r="51" spans="1:10" x14ac:dyDescent="0.2">
      <c r="A51" s="3" t="s">
        <v>504</v>
      </c>
      <c r="B51" s="9" t="s">
        <v>192</v>
      </c>
      <c r="C51" s="14">
        <f>MIN(Multiples!$C$44,Multiples!$D$44,Multiples!$E$44,Multiples!$F$44,Multiples!$G$44)</f>
        <v>4.6083933620159803</v>
      </c>
      <c r="D51" s="14">
        <f>MIN(Multiples!$C$46,Multiples!$D$46,Multiples!$E$46,Multiples!$F$46,Multiples!$G$46)</f>
        <v>4.1054726368159198</v>
      </c>
      <c r="E51" s="14">
        <f>MIN(Multiples!$C$47,Multiples!$D$47,Multiples!$E$47,Multiples!$F$47,Multiples!$G$47)</f>
        <v>1.4514457314457314</v>
      </c>
      <c r="F51" s="2"/>
      <c r="G51" s="2"/>
      <c r="H51" s="2"/>
      <c r="I51" s="2"/>
      <c r="J51" s="2"/>
    </row>
    <row r="52" spans="1:10" x14ac:dyDescent="0.2">
      <c r="A52" s="3" t="s">
        <v>505</v>
      </c>
      <c r="B52" s="9" t="s">
        <v>192</v>
      </c>
      <c r="C52" s="14">
        <f>MEDIAN(Multiples!$C$44,Multiples!$D$44,Multiples!$E$44,Multiples!$F$44,Multiples!$G$44)</f>
        <v>6.2149083769633506</v>
      </c>
      <c r="D52" s="14">
        <f>MEDIAN(Multiples!$C$46,Multiples!$D$46,Multiples!$E$46,Multiples!$F$46,Multiples!$G$46)</f>
        <v>9.151743638077285</v>
      </c>
      <c r="E52" s="14">
        <f>MEDIAN(Multiples!$C$47,Multiples!$D$47,Multiples!$E$47,Multiples!$F$47,Multiples!$G$47)</f>
        <v>1.9190189922816754</v>
      </c>
      <c r="F52" s="2"/>
      <c r="G52" s="2"/>
      <c r="H52" s="2"/>
      <c r="I52" s="2"/>
      <c r="J52" s="2"/>
    </row>
    <row r="53" spans="1:10" x14ac:dyDescent="0.2">
      <c r="A53" s="3" t="s">
        <v>506</v>
      </c>
      <c r="B53" s="9" t="s">
        <v>192</v>
      </c>
      <c r="C53" s="14">
        <f>MAX(Multiples!$C$44,Multiples!$D$44,Multiples!$E$44,Multiples!$F$44,Multiples!$G$44)</f>
        <v>6.727638088376561</v>
      </c>
      <c r="D53" s="14">
        <f>MAX(Multiples!$C$46,Multiples!$D$46,Multiples!$E$46,Multiples!$F$46,Multiples!$G$46)</f>
        <v>14.96031746031746</v>
      </c>
      <c r="E53" s="14">
        <f>MAX(Multiples!$C$47,Multiples!$D$47,Multiples!$E$47,Multiples!$F$47,Multiples!$G$47)</f>
        <v>2.5119597633136093</v>
      </c>
      <c r="F53" s="2"/>
      <c r="G53" s="2"/>
      <c r="H53" s="2"/>
      <c r="I53" s="2"/>
      <c r="J53" s="2"/>
    </row>
    <row r="54" spans="1:10" x14ac:dyDescent="0.2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">
      <c r="A55" s="5" t="s">
        <v>507</v>
      </c>
      <c r="B55" s="5"/>
      <c r="C55" s="6" t="s">
        <v>371</v>
      </c>
      <c r="D55" s="6"/>
      <c r="E55" s="6"/>
      <c r="F55" s="6"/>
      <c r="G55" s="6"/>
      <c r="H55" s="6"/>
      <c r="I55" s="6"/>
      <c r="J55" s="6" t="s">
        <v>33</v>
      </c>
    </row>
    <row r="56" spans="1:10" x14ac:dyDescent="0.2">
      <c r="A56" s="3" t="s">
        <v>508</v>
      </c>
      <c r="B56" s="9" t="s">
        <v>509</v>
      </c>
      <c r="C56" s="16">
        <f>(Multiples!$I$24*Multiples!$C$23-WACC!$C$15)/Assumptions!$C$6</f>
        <v>171.09354967569814</v>
      </c>
      <c r="D56" s="2"/>
      <c r="E56" s="2"/>
      <c r="F56" s="2"/>
      <c r="G56" s="2"/>
      <c r="H56" s="2"/>
      <c r="I56" s="2"/>
      <c r="J56" s="9" t="s">
        <v>510</v>
      </c>
    </row>
    <row r="57" spans="1:10" x14ac:dyDescent="0.2">
      <c r="A57" s="3" t="s">
        <v>511</v>
      </c>
      <c r="B57" s="9" t="s">
        <v>509</v>
      </c>
      <c r="C57" s="16">
        <f>(Multiples!$C$52*DCF!$E$60-WACC!$C$15+Assumptions!$C$11)/Assumptions!$C$6</f>
        <v>114.29087698616539</v>
      </c>
      <c r="D57" s="2"/>
      <c r="E57" s="2"/>
      <c r="F57" s="2"/>
      <c r="G57" s="2"/>
      <c r="H57" s="2"/>
      <c r="I57" s="2"/>
      <c r="J57" s="9" t="s">
        <v>512</v>
      </c>
    </row>
    <row r="58" spans="1:10" x14ac:dyDescent="0.2">
      <c r="A58" s="3" t="s">
        <v>513</v>
      </c>
      <c r="B58" s="9" t="s">
        <v>91</v>
      </c>
      <c r="C58" s="16">
        <f>(Metrics!$I$54*DCF!$E$50-Assumptions!$D$22)*(1-Assumptions!$C$10)/Assumptions!$C$6</f>
        <v>12.973152808843244</v>
      </c>
      <c r="D58" s="2"/>
      <c r="E58" s="2"/>
      <c r="F58" s="2"/>
      <c r="G58" s="2"/>
      <c r="H58" s="2"/>
      <c r="I58" s="2"/>
      <c r="J58" s="9" t="s">
        <v>514</v>
      </c>
    </row>
    <row r="59" spans="1:10" x14ac:dyDescent="0.2">
      <c r="A59" s="3" t="s">
        <v>515</v>
      </c>
      <c r="B59" s="9" t="s">
        <v>192</v>
      </c>
      <c r="C59" s="14">
        <f>Assumptions!$C$5/Multiples!$C$58</f>
        <v>7.9572021944914209</v>
      </c>
      <c r="D59" s="2"/>
      <c r="E59" s="2"/>
      <c r="F59" s="2"/>
      <c r="G59" s="2"/>
      <c r="H59" s="2"/>
      <c r="I59" s="2"/>
      <c r="J59" s="2"/>
    </row>
    <row r="60" spans="1:10" x14ac:dyDescent="0.2">
      <c r="A60" s="3" t="s">
        <v>516</v>
      </c>
      <c r="B60" s="9" t="s">
        <v>509</v>
      </c>
      <c r="C60" s="16">
        <f>Multiples!$C$58*Multiples!$D$52</f>
        <v>118.72696868413561</v>
      </c>
      <c r="D60" s="2"/>
      <c r="E60" s="2"/>
      <c r="F60" s="2"/>
      <c r="G60" s="2"/>
      <c r="H60" s="2"/>
      <c r="I60" s="2"/>
      <c r="J60" s="2"/>
    </row>
    <row r="61" spans="1:10" x14ac:dyDescent="0.2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">
      <c r="A62" s="7" t="s">
        <v>517</v>
      </c>
      <c r="B62" s="8"/>
      <c r="C62" s="8"/>
      <c r="D62" s="8"/>
      <c r="E62" s="8"/>
      <c r="F62" s="8"/>
      <c r="G62" s="8"/>
      <c r="H62" s="8"/>
      <c r="I62" s="8"/>
      <c r="J62" s="8"/>
    </row>
    <row r="63" spans="1:10" x14ac:dyDescent="0.2">
      <c r="A63" s="9" t="s">
        <v>518</v>
      </c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">
      <c r="A64" s="9" t="s">
        <v>519</v>
      </c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2">
      <c r="A65" s="9" t="s">
        <v>520</v>
      </c>
      <c r="B65" s="2"/>
      <c r="C65" s="2"/>
      <c r="D65" s="2"/>
      <c r="E65" s="2"/>
      <c r="F65" s="2"/>
      <c r="G65" s="2"/>
      <c r="H65" s="2"/>
      <c r="I65" s="2"/>
      <c r="J65" s="2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6" customWidth="1"/>
    <col min="2" max="2" width="9" customWidth="1"/>
    <col min="3" max="6" width="11" customWidth="1"/>
    <col min="7" max="7" width="70" customWidth="1"/>
  </cols>
  <sheetData>
    <row r="1" spans="1:7" ht="16" x14ac:dyDescent="0.2">
      <c r="A1" s="1" t="s">
        <v>521</v>
      </c>
      <c r="B1" s="2"/>
      <c r="C1" s="2"/>
      <c r="D1" s="2"/>
      <c r="E1" s="2"/>
      <c r="F1" s="2"/>
      <c r="G1" s="2"/>
    </row>
    <row r="2" spans="1:7" x14ac:dyDescent="0.2">
      <c r="A2" s="2"/>
      <c r="B2" s="2"/>
      <c r="C2" s="2"/>
      <c r="D2" s="2"/>
      <c r="E2" s="2"/>
      <c r="F2" s="2"/>
      <c r="G2" s="2"/>
    </row>
    <row r="3" spans="1:7" x14ac:dyDescent="0.2">
      <c r="A3" s="5" t="s">
        <v>21</v>
      </c>
      <c r="B3" s="5" t="s">
        <v>22</v>
      </c>
      <c r="C3" s="6" t="s">
        <v>522</v>
      </c>
      <c r="D3" s="6" t="s">
        <v>523</v>
      </c>
      <c r="E3" s="6" t="s">
        <v>524</v>
      </c>
      <c r="F3" s="6" t="s">
        <v>525</v>
      </c>
      <c r="G3" s="6" t="s">
        <v>33</v>
      </c>
    </row>
    <row r="4" spans="1:7" x14ac:dyDescent="0.2">
      <c r="A4" s="3" t="s">
        <v>526</v>
      </c>
      <c r="B4" s="9" t="s">
        <v>150</v>
      </c>
      <c r="C4" s="22">
        <f>Assumptions!$C$49</f>
        <v>0.25</v>
      </c>
      <c r="D4" s="22">
        <f>Assumptions!$C$50</f>
        <v>0.5</v>
      </c>
      <c r="E4" s="22">
        <f>Assumptions!$C$51</f>
        <v>0.25</v>
      </c>
      <c r="F4" s="22">
        <f>SUM(C4:E4)</f>
        <v>1</v>
      </c>
      <c r="G4" s="2"/>
    </row>
    <row r="5" spans="1:7" x14ac:dyDescent="0.2">
      <c r="A5" s="4" t="s">
        <v>527</v>
      </c>
      <c r="B5" s="9" t="s">
        <v>91</v>
      </c>
      <c r="C5" s="31">
        <f>DCF!$J$41</f>
        <v>35.422265516428197</v>
      </c>
      <c r="D5" s="31">
        <f>DCF!$J$82</f>
        <v>100.96216385919419</v>
      </c>
      <c r="E5" s="31">
        <f>DCF!$J$123</f>
        <v>199.86437466877601</v>
      </c>
      <c r="F5" s="31">
        <f>C4*C5+D4*D5+E4*E5</f>
        <v>109.30274197589814</v>
      </c>
      <c r="G5" s="2"/>
    </row>
    <row r="6" spans="1:7" x14ac:dyDescent="0.2">
      <c r="A6" s="3" t="s">
        <v>528</v>
      </c>
      <c r="B6" s="9" t="s">
        <v>150</v>
      </c>
      <c r="C6" s="36">
        <f>Scenarios!$C$5/Assumptions!$C$5-1</f>
        <v>-0.65686074284192397</v>
      </c>
      <c r="D6" s="36">
        <f>Scenarios!$D$5/Assumptions!$C$5-1</f>
        <v>-2.1968770132769655E-2</v>
      </c>
      <c r="E6" s="36">
        <f>Scenarios!$E$5/Assumptions!$C$5-1</f>
        <v>0.93610747523758597</v>
      </c>
      <c r="F6" s="36">
        <f>Scenarios!$F$5/Assumptions!$C$5-1</f>
        <v>5.8827298032530617E-2</v>
      </c>
      <c r="G6" s="2"/>
    </row>
    <row r="7" spans="1:7" x14ac:dyDescent="0.2">
      <c r="A7" s="3" t="s">
        <v>529</v>
      </c>
      <c r="B7" s="9" t="s">
        <v>91</v>
      </c>
      <c r="C7" s="16">
        <f>DCF!$E$30</f>
        <v>-5.0553839302815113</v>
      </c>
      <c r="D7" s="16">
        <f>DCF!$E$71</f>
        <v>8.7121323783999873</v>
      </c>
      <c r="E7" s="16">
        <f>DCF!$E$112</f>
        <v>14.300719655161862</v>
      </c>
      <c r="F7" s="2"/>
      <c r="G7" s="2"/>
    </row>
    <row r="8" spans="1:7" x14ac:dyDescent="0.2">
      <c r="A8" s="3" t="s">
        <v>530</v>
      </c>
      <c r="B8" s="9" t="s">
        <v>150</v>
      </c>
      <c r="C8" s="18">
        <f>DCF!$E$17</f>
        <v>-2.4739509977897912E-2</v>
      </c>
      <c r="D8" s="18">
        <f>DCF!$E$58</f>
        <v>6.0590184477471269E-2</v>
      </c>
      <c r="E8" s="18">
        <f>DCF!$E$99</f>
        <v>9.2920663174668364E-2</v>
      </c>
      <c r="F8" s="2"/>
      <c r="G8" s="2"/>
    </row>
    <row r="9" spans="1:7" x14ac:dyDescent="0.2">
      <c r="A9" s="3" t="s">
        <v>531</v>
      </c>
      <c r="B9" s="9" t="s">
        <v>150</v>
      </c>
      <c r="C9" s="18">
        <f>DCF!$J$17</f>
        <v>7.0406454255199924E-2</v>
      </c>
      <c r="D9" s="18">
        <f>DCF!$J$58</f>
        <v>8.5178933949288993E-2</v>
      </c>
      <c r="E9" s="18">
        <f>DCF!$J$99</f>
        <v>0.11712122927568018</v>
      </c>
      <c r="F9" s="2"/>
      <c r="G9" s="2"/>
    </row>
    <row r="10" spans="1:7" x14ac:dyDescent="0.2">
      <c r="A10" s="3" t="s">
        <v>532</v>
      </c>
      <c r="B10" s="9" t="s">
        <v>148</v>
      </c>
      <c r="C10" s="16">
        <f>DCF!$E$6</f>
        <v>4.0999999999999996</v>
      </c>
      <c r="D10" s="16">
        <f>DCF!$E$47</f>
        <v>3.3</v>
      </c>
      <c r="E10" s="16">
        <f>DCF!$E$88</f>
        <v>2.9</v>
      </c>
      <c r="F10" s="2"/>
      <c r="G10" s="2"/>
    </row>
    <row r="11" spans="1:7" x14ac:dyDescent="0.2">
      <c r="A11" s="3" t="s">
        <v>533</v>
      </c>
      <c r="B11" s="9" t="s">
        <v>91</v>
      </c>
      <c r="C11" s="16">
        <f>DCF!$J$39</f>
        <v>46.65337094641523</v>
      </c>
      <c r="D11" s="16">
        <f>DCF!$J$80</f>
        <v>100.17001244285576</v>
      </c>
      <c r="E11" s="16">
        <f>DCF!$J$121</f>
        <v>201.39085664330054</v>
      </c>
      <c r="F11" s="2"/>
      <c r="G11" s="2"/>
    </row>
    <row r="12" spans="1:7" x14ac:dyDescent="0.2">
      <c r="A12" s="3" t="s">
        <v>534</v>
      </c>
      <c r="B12" s="9" t="s">
        <v>91</v>
      </c>
      <c r="C12" s="16">
        <f>DCF!$J$40</f>
        <v>24.191160086441172</v>
      </c>
      <c r="D12" s="16">
        <f>DCF!$J$81</f>
        <v>101.75431527553263</v>
      </c>
      <c r="E12" s="16">
        <f>DCF!$J$122</f>
        <v>198.33789269425148</v>
      </c>
      <c r="F12" s="2"/>
      <c r="G12" s="2"/>
    </row>
    <row r="13" spans="1:7" x14ac:dyDescent="0.2">
      <c r="A13" s="2"/>
      <c r="B13" s="2"/>
      <c r="C13" s="2"/>
      <c r="D13" s="2"/>
      <c r="E13" s="2"/>
      <c r="F13" s="2"/>
      <c r="G13" s="2"/>
    </row>
    <row r="14" spans="1:7" x14ac:dyDescent="0.2">
      <c r="A14" s="5" t="s">
        <v>535</v>
      </c>
      <c r="B14" s="5"/>
      <c r="C14" s="6" t="s">
        <v>371</v>
      </c>
      <c r="D14" s="6"/>
      <c r="E14" s="6"/>
      <c r="F14" s="6"/>
      <c r="G14" s="6" t="s">
        <v>33</v>
      </c>
    </row>
    <row r="15" spans="1:7" x14ac:dyDescent="0.2">
      <c r="A15" s="4" t="s">
        <v>536</v>
      </c>
      <c r="B15" s="9" t="s">
        <v>91</v>
      </c>
      <c r="C15" s="37">
        <f>ROUND(Scenarios!$F$5,0)</f>
        <v>109</v>
      </c>
      <c r="D15" s="2"/>
      <c r="E15" s="2"/>
      <c r="F15" s="2"/>
      <c r="G15" s="2"/>
    </row>
    <row r="16" spans="1:7" x14ac:dyDescent="0.2">
      <c r="A16" s="3" t="s">
        <v>537</v>
      </c>
      <c r="B16" s="9" t="s">
        <v>91</v>
      </c>
      <c r="C16" s="38">
        <f>ROUND(MIN(DCF!$J$82,Multiples!$C$57,Multiples!$C$60),0)</f>
        <v>101</v>
      </c>
      <c r="D16" s="2"/>
      <c r="E16" s="2"/>
      <c r="F16" s="2"/>
      <c r="G16" s="2"/>
    </row>
    <row r="17" spans="1:7" x14ac:dyDescent="0.2">
      <c r="A17" s="3" t="s">
        <v>538</v>
      </c>
      <c r="B17" s="9" t="s">
        <v>91</v>
      </c>
      <c r="C17" s="38">
        <f>ROUND(MAX(Scenarios!$F$5,Multiples!$C$57,Multiples!$C$60),0)</f>
        <v>119</v>
      </c>
      <c r="D17" s="2"/>
      <c r="E17" s="2"/>
      <c r="F17" s="2"/>
      <c r="G17" s="2"/>
    </row>
    <row r="18" spans="1:7" x14ac:dyDescent="0.2">
      <c r="A18" s="4" t="s">
        <v>539</v>
      </c>
      <c r="B18" s="9" t="s">
        <v>150</v>
      </c>
      <c r="C18" s="39">
        <f>Scenarios!$C$15/Assumptions!$C$5-1</f>
        <v>5.589460428170101E-2</v>
      </c>
      <c r="D18" s="2"/>
      <c r="E18" s="2"/>
      <c r="F18" s="2"/>
      <c r="G18" s="2"/>
    </row>
    <row r="19" spans="1:7" x14ac:dyDescent="0.2">
      <c r="A19" s="4" t="s">
        <v>540</v>
      </c>
      <c r="B19" s="9"/>
      <c r="C19" s="40" t="str">
        <f>IF(Scenarios!$C$18&gt;Assumptions!$C$53,"BUY",IF(Scenarios!$C$18&lt;Assumptions!$C$54,"SELL","HOLD"))</f>
        <v>HOLD</v>
      </c>
      <c r="D19" s="2"/>
      <c r="E19" s="2"/>
      <c r="F19" s="2"/>
      <c r="G19" s="2"/>
    </row>
    <row r="20" spans="1:7" x14ac:dyDescent="0.2">
      <c r="A20" s="3" t="s">
        <v>541</v>
      </c>
      <c r="B20" s="9" t="s">
        <v>91</v>
      </c>
      <c r="C20" s="16">
        <f>Scenarios!$F$5*(1+WACC!$C$7)</f>
        <v>122.46563621248144</v>
      </c>
      <c r="D20" s="2"/>
      <c r="E20" s="2"/>
      <c r="F20" s="2"/>
      <c r="G20" s="9" t="s">
        <v>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6"/>
  <sheetViews>
    <sheetView showGridLines="0" workbookViewId="0"/>
  </sheetViews>
  <sheetFormatPr baseColWidth="10" defaultColWidth="8.83203125" defaultRowHeight="15" x14ac:dyDescent="0.2"/>
  <cols>
    <col min="1" max="1" width="34" customWidth="1"/>
    <col min="2" max="11" width="11" customWidth="1"/>
  </cols>
  <sheetData>
    <row r="1" spans="1:10" ht="16" x14ac:dyDescent="0.2">
      <c r="A1" s="1" t="s">
        <v>543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2">
      <c r="A3" s="4" t="s">
        <v>544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2">
      <c r="A4" s="23" t="s">
        <v>545</v>
      </c>
      <c r="B4" s="41">
        <v>1.4999999999999999E-2</v>
      </c>
      <c r="C4" s="41">
        <v>0.02</v>
      </c>
      <c r="D4" s="41">
        <v>2.5000000000000001E-2</v>
      </c>
      <c r="E4" s="41">
        <v>0.03</v>
      </c>
      <c r="F4" s="41">
        <v>3.5000000000000003E-2</v>
      </c>
      <c r="G4" s="2"/>
      <c r="H4" s="2"/>
      <c r="I4" s="2"/>
      <c r="J4" s="2"/>
    </row>
    <row r="5" spans="1:10" x14ac:dyDescent="0.2">
      <c r="A5" s="41">
        <v>7.4999999999999997E-2</v>
      </c>
      <c r="B5" s="42">
        <f>(DCF!$D$67/(1+$A5)^DCF!$D$68+DCF!$E$67/(1+$A5)^DCF!$E$68+DCF!$F$67/(1+$A5)^DCF!$F$68+DCF!$G$67/(1+$A5)^DCF!$G$68+DCF!$H$67/(1+$A5)^DCF!$H$68+DCF!$I$67/(1+$A5)^DCF!$I$68+DCF!$J$67/(1+$A5)^DCF!$J$68+DCF!$J$63*(1+B$4)*(1-B$4/Assumptions!$C$25)/($A5-B$4)/(1+$A5)^6.5-WACC!$C$15+Assumptions!$C$11)/Assumptions!$C$6</f>
        <v>130.55742944633528</v>
      </c>
      <c r="C5" s="42">
        <f>(DCF!$D$67/(1+$A5)^DCF!$D$68+DCF!$E$67/(1+$A5)^DCF!$E$68+DCF!$F$67/(1+$A5)^DCF!$F$68+DCF!$G$67/(1+$A5)^DCF!$G$68+DCF!$H$67/(1+$A5)^DCF!$H$68+DCF!$I$67/(1+$A5)^DCF!$I$68+DCF!$J$67/(1+$A5)^DCF!$J$68+DCF!$J$63*(1+C$4)*(1-C$4/Assumptions!$C$25)/($A5-C$4)/(1+$A5)^6.5-WACC!$C$15+Assumptions!$C$11)/Assumptions!$C$6</f>
        <v>136.44715003751523</v>
      </c>
      <c r="D5" s="42">
        <f>(DCF!$D$67/(1+$A5)^DCF!$D$68+DCF!$E$67/(1+$A5)^DCF!$E$68+DCF!$F$67/(1+$A5)^DCF!$F$68+DCF!$G$67/(1+$A5)^DCF!$G$68+DCF!$H$67/(1+$A5)^DCF!$H$68+DCF!$I$67/(1+$A5)^DCF!$I$68+DCF!$J$67/(1+$A5)^DCF!$J$68+DCF!$J$63*(1+D$4)*(1-D$4/Assumptions!$C$25)/($A5-D$4)/(1+$A5)^6.5-WACC!$C$15+Assumptions!$C$11)/Assumptions!$C$6</f>
        <v>143.3859923578614</v>
      </c>
      <c r="E5" s="42">
        <f>(DCF!$D$67/(1+$A5)^DCF!$D$68+DCF!$E$67/(1+$A5)^DCF!$E$68+DCF!$F$67/(1+$A5)^DCF!$F$68+DCF!$G$67/(1+$A5)^DCF!$G$68+DCF!$H$67/(1+$A5)^DCF!$H$68+DCF!$I$67/(1+$A5)^DCF!$I$68+DCF!$J$67/(1+$A5)^DCF!$J$68+DCF!$J$63*(1+E$4)*(1-E$4/Assumptions!$C$25)/($A5-E$4)/(1+$A5)^6.5-WACC!$C$15+Assumptions!$C$11)/Assumptions!$C$6</f>
        <v>151.72366365042933</v>
      </c>
      <c r="F5" s="42">
        <f>(DCF!$D$67/(1+$A5)^DCF!$D$68+DCF!$E$67/(1+$A5)^DCF!$E$68+DCF!$F$67/(1+$A5)^DCF!$F$68+DCF!$G$67/(1+$A5)^DCF!$G$68+DCF!$H$67/(1+$A5)^DCF!$H$68+DCF!$I$67/(1+$A5)^DCF!$I$68+DCF!$J$67/(1+$A5)^DCF!$J$68+DCF!$J$63*(1+F$4)*(1-F$4/Assumptions!$C$25)/($A5-F$4)/(1+$A5)^6.5-WACC!$C$15+Assumptions!$C$11)/Assumptions!$C$6</f>
        <v>161.98472477980204</v>
      </c>
      <c r="G5" s="2"/>
      <c r="H5" s="2"/>
      <c r="I5" s="2"/>
      <c r="J5" s="2"/>
    </row>
    <row r="6" spans="1:10" x14ac:dyDescent="0.2">
      <c r="A6" s="41">
        <v>0.08</v>
      </c>
      <c r="B6" s="42">
        <f>(DCF!$D$67/(1+$A6)^DCF!$D$68+DCF!$E$67/(1+$A6)^DCF!$E$68+DCF!$F$67/(1+$A6)^DCF!$F$68+DCF!$G$67/(1+$A6)^DCF!$G$68+DCF!$H$67/(1+$A6)^DCF!$H$68+DCF!$I$67/(1+$A6)^DCF!$I$68+DCF!$J$67/(1+$A6)^DCF!$J$68+DCF!$J$63*(1+B$4)*(1-B$4/Assumptions!$C$25)/($A6-B$4)/(1+$A6)^6.5-WACC!$C$15+Assumptions!$C$11)/Assumptions!$C$6</f>
        <v>111.01354843678939</v>
      </c>
      <c r="C6" s="42">
        <f>(DCF!$D$67/(1+$A6)^DCF!$D$68+DCF!$E$67/(1+$A6)^DCF!$E$68+DCF!$F$67/(1+$A6)^DCF!$F$68+DCF!$G$67/(1+$A6)^DCF!$G$68+DCF!$H$67/(1+$A6)^DCF!$H$68+DCF!$I$67/(1+$A6)^DCF!$I$68+DCF!$J$67/(1+$A6)^DCF!$J$68+DCF!$J$63*(1+C$4)*(1-C$4/Assumptions!$C$25)/($A6-C$4)/(1+$A6)^6.5-WACC!$C$15+Assumptions!$C$11)/Assumptions!$C$6</f>
        <v>115.09991699309347</v>
      </c>
      <c r="D6" s="42">
        <f>(DCF!$D$67/(1+$A6)^DCF!$D$68+DCF!$E$67/(1+$A6)^DCF!$E$68+DCF!$F$67/(1+$A6)^DCF!$F$68+DCF!$G$67/(1+$A6)^DCF!$G$68+DCF!$H$67/(1+$A6)^DCF!$H$68+DCF!$I$67/(1+$A6)^DCF!$I$68+DCF!$J$67/(1+$A6)^DCF!$J$68+DCF!$J$63*(1+D$4)*(1-D$4/Assumptions!$C$25)/($A6-D$4)/(1+$A6)^6.5-WACC!$C$15+Assumptions!$C$11)/Assumptions!$C$6</f>
        <v>119.81563001154491</v>
      </c>
      <c r="E6" s="42">
        <f>(DCF!$D$67/(1+$A6)^DCF!$D$68+DCF!$E$67/(1+$A6)^DCF!$E$68+DCF!$F$67/(1+$A6)^DCF!$F$68+DCF!$G$67/(1+$A6)^DCF!$G$68+DCF!$H$67/(1+$A6)^DCF!$H$68+DCF!$I$67/(1+$A6)^DCF!$I$68+DCF!$J$67/(1+$A6)^DCF!$J$68+DCF!$J$63*(1+E$4)*(1-E$4/Assumptions!$C$25)/($A6-E$4)/(1+$A6)^6.5-WACC!$C$15+Assumptions!$C$11)/Assumptions!$C$6</f>
        <v>125.34949083078796</v>
      </c>
      <c r="F6" s="42">
        <f>(DCF!$D$67/(1+$A6)^DCF!$D$68+DCF!$E$67/(1+$A6)^DCF!$E$68+DCF!$F$67/(1+$A6)^DCF!$F$68+DCF!$G$67/(1+$A6)^DCF!$G$68+DCF!$H$67/(1+$A6)^DCF!$H$68+DCF!$I$67/(1+$A6)^DCF!$I$68+DCF!$J$67/(1+$A6)^DCF!$J$68+DCF!$J$63*(1+F$4)*(1-F$4/Assumptions!$C$25)/($A6-F$4)/(1+$A6)^6.5-WACC!$C$15+Assumptions!$C$11)/Assumptions!$C$6</f>
        <v>131.97421538441972</v>
      </c>
      <c r="G6" s="2"/>
      <c r="H6" s="2"/>
      <c r="I6" s="2"/>
      <c r="J6" s="2"/>
    </row>
    <row r="7" spans="1:10" x14ac:dyDescent="0.2">
      <c r="A7" s="41">
        <v>8.5000000000000006E-2</v>
      </c>
      <c r="B7" s="42">
        <f>(DCF!$D$67/(1+$A7)^DCF!$D$68+DCF!$E$67/(1+$A7)^DCF!$E$68+DCF!$F$67/(1+$A7)^DCF!$F$68+DCF!$G$67/(1+$A7)^DCF!$G$68+DCF!$H$67/(1+$A7)^DCF!$H$68+DCF!$I$67/(1+$A7)^DCF!$I$68+DCF!$J$67/(1+$A7)^DCF!$J$68+DCF!$J$63*(1+B$4)*(1-B$4/Assumptions!$C$25)/($A7-B$4)/(1+$A7)^6.5-WACC!$C$15+Assumptions!$C$11)/Assumptions!$C$6</f>
        <v>94.398945695139204</v>
      </c>
      <c r="C7" s="42">
        <f>(DCF!$D$67/(1+$A7)^DCF!$D$68+DCF!$E$67/(1+$A7)^DCF!$E$68+DCF!$F$67/(1+$A7)^DCF!$F$68+DCF!$G$67/(1+$A7)^DCF!$G$68+DCF!$H$67/(1+$A7)^DCF!$H$68+DCF!$I$67/(1+$A7)^DCF!$I$68+DCF!$J$67/(1+$A7)^DCF!$J$68+DCF!$J$63*(1+C$4)*(1-C$4/Assumptions!$C$25)/($A7-C$4)/(1+$A7)^6.5-WACC!$C$15+Assumptions!$C$11)/Assumptions!$C$6</f>
        <v>97.17480011846321</v>
      </c>
      <c r="D7" s="42">
        <f>(DCF!$D$67/(1+$A7)^DCF!$D$68+DCF!$E$67/(1+$A7)^DCF!$E$68+DCF!$F$67/(1+$A7)^DCF!$F$68+DCF!$G$67/(1+$A7)^DCF!$G$68+DCF!$H$67/(1+$A7)^DCF!$H$68+DCF!$I$67/(1+$A7)^DCF!$I$68+DCF!$J$67/(1+$A7)^DCF!$J$68+DCF!$J$63*(1+D$4)*(1-D$4/Assumptions!$C$25)/($A7-D$4)/(1+$A7)^6.5-WACC!$C$15+Assumptions!$C$11)/Assumptions!$C$6</f>
        <v>100.31221541205208</v>
      </c>
      <c r="E7" s="42">
        <f>(DCF!$D$67/(1+$A7)^DCF!$D$68+DCF!$E$67/(1+$A7)^DCF!$E$68+DCF!$F$67/(1+$A7)^DCF!$F$68+DCF!$G$67/(1+$A7)^DCF!$G$68+DCF!$H$67/(1+$A7)^DCF!$H$68+DCF!$I$67/(1+$A7)^DCF!$I$68+DCF!$J$67/(1+$A7)^DCF!$J$68+DCF!$J$63*(1+E$4)*(1-E$4/Assumptions!$C$25)/($A7-E$4)/(1+$A7)^6.5-WACC!$C$15+Assumptions!$C$11)/Assumptions!$C$6</f>
        <v>103.90979908597811</v>
      </c>
      <c r="F7" s="42">
        <f>(DCF!$D$67/(1+$A7)^DCF!$D$68+DCF!$E$67/(1+$A7)^DCF!$E$68+DCF!$F$67/(1+$A7)^DCF!$F$68+DCF!$G$67/(1+$A7)^DCF!$G$68+DCF!$H$67/(1+$A7)^DCF!$H$68+DCF!$I$67/(1+$A7)^DCF!$I$68+DCF!$J$67/(1+$A7)^DCF!$J$68+DCF!$J$63*(1+F$4)*(1-F$4/Assumptions!$C$25)/($A7-F$4)/(1+$A7)^6.5-WACC!$C$15+Assumptions!$C$11)/Assumptions!$C$6</f>
        <v>108.10560165434238</v>
      </c>
      <c r="G7" s="2"/>
      <c r="H7" s="2"/>
      <c r="I7" s="2"/>
      <c r="J7" s="2"/>
    </row>
    <row r="8" spans="1:10" x14ac:dyDescent="0.2">
      <c r="A8" s="41">
        <v>0.09</v>
      </c>
      <c r="B8" s="42">
        <f>(DCF!$D$67/(1+$A8)^DCF!$D$68+DCF!$E$67/(1+$A8)^DCF!$E$68+DCF!$F$67/(1+$A8)^DCF!$F$68+DCF!$G$67/(1+$A8)^DCF!$G$68+DCF!$H$67/(1+$A8)^DCF!$H$68+DCF!$I$67/(1+$A8)^DCF!$I$68+DCF!$J$67/(1+$A8)^DCF!$J$68+DCF!$J$63*(1+B$4)*(1-B$4/Assumptions!$C$25)/($A8-B$4)/(1+$A8)^6.5-WACC!$C$15+Assumptions!$C$11)/Assumptions!$C$6</f>
        <v>80.123129994116695</v>
      </c>
      <c r="C8" s="42">
        <f>(DCF!$D$67/(1+$A8)^DCF!$D$68+DCF!$E$67/(1+$A8)^DCF!$E$68+DCF!$F$67/(1+$A8)^DCF!$F$68+DCF!$G$67/(1+$A8)^DCF!$G$68+DCF!$H$67/(1+$A8)^DCF!$H$68+DCF!$I$67/(1+$A8)^DCF!$I$68+DCF!$J$67/(1+$A8)^DCF!$J$68+DCF!$J$63*(1+C$4)*(1-C$4/Assumptions!$C$25)/($A8-C$4)/(1+$A8)^6.5-WACC!$C$15+Assumptions!$C$11)/Assumptions!$C$6</f>
        <v>81.933875256964541</v>
      </c>
      <c r="D8" s="42">
        <f>(DCF!$D$67/(1+$A8)^DCF!$D$68+DCF!$E$67/(1+$A8)^DCF!$E$68+DCF!$F$67/(1+$A8)^DCF!$F$68+DCF!$G$67/(1+$A8)^DCF!$G$68+DCF!$H$67/(1+$A8)^DCF!$H$68+DCF!$I$67/(1+$A8)^DCF!$I$68+DCF!$J$67/(1+$A8)^DCF!$J$68+DCF!$J$63*(1+D$4)*(1-D$4/Assumptions!$C$25)/($A8-D$4)/(1+$A8)^6.5-WACC!$C$15+Assumptions!$C$11)/Assumptions!$C$6</f>
        <v>83.932637889329271</v>
      </c>
      <c r="E8" s="42">
        <f>(DCF!$D$67/(1+$A8)^DCF!$D$68+DCF!$E$67/(1+$A8)^DCF!$E$68+DCF!$F$67/(1+$A8)^DCF!$F$68+DCF!$G$67/(1+$A8)^DCF!$G$68+DCF!$H$67/(1+$A8)^DCF!$H$68+DCF!$I$67/(1+$A8)^DCF!$I$68+DCF!$J$67/(1+$A8)^DCF!$J$68+DCF!$J$63*(1+E$4)*(1-E$4/Assumptions!$C$25)/($A8-E$4)/(1+$A8)^6.5-WACC!$C$15+Assumptions!$C$11)/Assumptions!$C$6</f>
        <v>86.166422233590254</v>
      </c>
      <c r="F8" s="42">
        <f>(DCF!$D$67/(1+$A8)^DCF!$D$68+DCF!$E$67/(1+$A8)^DCF!$E$68+DCF!$F$67/(1+$A8)^DCF!$F$68+DCF!$G$67/(1+$A8)^DCF!$G$68+DCF!$H$67/(1+$A8)^DCF!$H$68+DCF!$I$67/(1+$A8)^DCF!$I$68+DCF!$J$67/(1+$A8)^DCF!$J$68+DCF!$J$63*(1+F$4)*(1-F$4/Assumptions!$C$25)/($A8-F$4)/(1+$A8)^6.5-WACC!$C$15+Assumptions!$C$11)/Assumptions!$C$6</f>
        <v>88.699325120264476</v>
      </c>
      <c r="G8" s="2"/>
      <c r="H8" s="2"/>
      <c r="I8" s="2"/>
      <c r="J8" s="2"/>
    </row>
    <row r="9" spans="1:10" x14ac:dyDescent="0.2">
      <c r="A9" s="41">
        <v>9.5000000000000001E-2</v>
      </c>
      <c r="B9" s="42">
        <f>(DCF!$D$67/(1+$A9)^DCF!$D$68+DCF!$E$67/(1+$A9)^DCF!$E$68+DCF!$F$67/(1+$A9)^DCF!$F$68+DCF!$G$67/(1+$A9)^DCF!$G$68+DCF!$H$67/(1+$A9)^DCF!$H$68+DCF!$I$67/(1+$A9)^DCF!$I$68+DCF!$J$67/(1+$A9)^DCF!$J$68+DCF!$J$63*(1+B$4)*(1-B$4/Assumptions!$C$25)/($A9-B$4)/(1+$A9)^6.5-WACC!$C$15+Assumptions!$C$11)/Assumptions!$C$6</f>
        <v>67.743414230081754</v>
      </c>
      <c r="C9" s="42">
        <f>(DCF!$D$67/(1+$A9)^DCF!$D$68+DCF!$E$67/(1+$A9)^DCF!$E$68+DCF!$F$67/(1+$A9)^DCF!$F$68+DCF!$G$67/(1+$A9)^DCF!$G$68+DCF!$H$67/(1+$A9)^DCF!$H$68+DCF!$I$67/(1+$A9)^DCF!$I$68+DCF!$J$67/(1+$A9)^DCF!$J$68+DCF!$J$63*(1+C$4)*(1-C$4/Assumptions!$C$25)/($A9-C$4)/(1+$A9)^6.5-WACC!$C$15+Assumptions!$C$11)/Assumptions!$C$6</f>
        <v>68.836177377229191</v>
      </c>
      <c r="D9" s="42">
        <f>(DCF!$D$67/(1+$A9)^DCF!$D$68+DCF!$E$67/(1+$A9)^DCF!$E$68+DCF!$F$67/(1+$A9)^DCF!$F$68+DCF!$G$67/(1+$A9)^DCF!$G$68+DCF!$H$67/(1+$A9)^DCF!$H$68+DCF!$I$67/(1+$A9)^DCF!$I$68+DCF!$J$67/(1+$A9)^DCF!$J$68+DCF!$J$63*(1+D$4)*(1-D$4/Assumptions!$C$25)/($A9-D$4)/(1+$A9)^6.5-WACC!$C$15+Assumptions!$C$11)/Assumptions!$C$6</f>
        <v>70.003423913491233</v>
      </c>
      <c r="E9" s="42">
        <f>(DCF!$D$67/(1+$A9)^DCF!$D$68+DCF!$E$67/(1+$A9)^DCF!$E$68+DCF!$F$67/(1+$A9)^DCF!$F$68+DCF!$G$67/(1+$A9)^DCF!$G$68+DCF!$H$67/(1+$A9)^DCF!$H$68+DCF!$I$67/(1+$A9)^DCF!$I$68+DCF!$J$67/(1+$A9)^DCF!$J$68+DCF!$J$63*(1+E$4)*(1-E$4/Assumptions!$C$25)/($A9-E$4)/(1+$A9)^6.5-WACC!$C$15+Assumptions!$C$11)/Assumptions!$C$6</f>
        <v>71.262342313278992</v>
      </c>
      <c r="F9" s="42">
        <f>(DCF!$D$67/(1+$A9)^DCF!$D$68+DCF!$E$67/(1+$A9)^DCF!$E$68+DCF!$F$67/(1+$A9)^DCF!$F$68+DCF!$G$67/(1+$A9)^DCF!$G$68+DCF!$H$67/(1+$A9)^DCF!$H$68+DCF!$I$67/(1+$A9)^DCF!$I$68+DCF!$J$67/(1+$A9)^DCF!$J$68+DCF!$J$63*(1+F$4)*(1-F$4/Assumptions!$C$25)/($A9-F$4)/(1+$A9)^6.5-WACC!$C$15+Assumptions!$C$11)/Assumptions!$C$6</f>
        <v>72.635850542473861</v>
      </c>
      <c r="G9" s="2"/>
      <c r="H9" s="2"/>
      <c r="I9" s="2"/>
      <c r="J9" s="2"/>
    </row>
    <row r="10" spans="1:10" x14ac:dyDescent="0.2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">
      <c r="A11" s="9" t="s">
        <v>546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">
      <c r="A13" s="4" t="s">
        <v>547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">
      <c r="A14" s="2" t="s">
        <v>384</v>
      </c>
      <c r="B14" s="17">
        <v>7.0000000000000007E-2</v>
      </c>
      <c r="C14" s="17">
        <v>7.4999999999999997E-2</v>
      </c>
      <c r="D14" s="17">
        <v>0.08</v>
      </c>
      <c r="E14" s="17">
        <v>8.5000000000000006E-2</v>
      </c>
      <c r="F14" s="17">
        <v>0.09</v>
      </c>
      <c r="G14" s="17">
        <v>9.5000000000000001E-2</v>
      </c>
      <c r="H14" s="17">
        <v>0.1</v>
      </c>
      <c r="I14" s="17">
        <v>0.105</v>
      </c>
      <c r="J14" s="17">
        <v>0.11</v>
      </c>
    </row>
    <row r="15" spans="1:10" x14ac:dyDescent="0.2">
      <c r="A15" s="2" t="s">
        <v>548</v>
      </c>
      <c r="B15" s="43">
        <f>(DCF!$D$67/(1+B$14)^DCF!$D$68+DCF!$E$67/(1+B$14)^DCF!$E$68+DCF!$F$67/(1+B$14)^DCF!$F$68+DCF!$G$67/(1+B$14)^DCF!$G$68+DCF!$H$67/(1+B$14)^DCF!$H$68+DCF!$I$67/(1+B$14)^DCF!$I$68+DCF!$J$67/(1+B$14)^DCF!$J$68+DCF!$J$63*(1+Assumptions!$C$24)*(1-Assumptions!$C$24/Assumptions!$C$25)/(B$14-Assumptions!$C$24)/(1+B$14)^6.5-WACC!$C$15+Assumptions!$C$11)/Assumptions!$C$6</f>
        <v>172.38586217550551</v>
      </c>
      <c r="C15" s="43">
        <f>(DCF!$D$67/(1+C$14)^DCF!$D$68+DCF!$E$67/(1+C$14)^DCF!$E$68+DCF!$F$67/(1+C$14)^DCF!$F$68+DCF!$G$67/(1+C$14)^DCF!$G$68+DCF!$H$67/(1+C$14)^DCF!$H$68+DCF!$I$67/(1+C$14)^DCF!$I$68+DCF!$J$67/(1+C$14)^DCF!$J$68+DCF!$J$63*(1+Assumptions!$C$24)*(1-Assumptions!$C$24/Assumptions!$C$25)/(C$14-Assumptions!$C$24)/(1+C$14)^6.5-WACC!$C$15+Assumptions!$C$11)/Assumptions!$C$6</f>
        <v>143.3859923578614</v>
      </c>
      <c r="D15" s="43">
        <f>(DCF!$D$67/(1+D$14)^DCF!$D$68+DCF!$E$67/(1+D$14)^DCF!$E$68+DCF!$F$67/(1+D$14)^DCF!$F$68+DCF!$G$67/(1+D$14)^DCF!$G$68+DCF!$H$67/(1+D$14)^DCF!$H$68+DCF!$I$67/(1+D$14)^DCF!$I$68+DCF!$J$67/(1+D$14)^DCF!$J$68+DCF!$J$63*(1+Assumptions!$C$24)*(1-Assumptions!$C$24/Assumptions!$C$25)/(D$14-Assumptions!$C$24)/(1+D$14)^6.5-WACC!$C$15+Assumptions!$C$11)/Assumptions!$C$6</f>
        <v>119.81563001154491</v>
      </c>
      <c r="E15" s="43">
        <f>(DCF!$D$67/(1+E$14)^DCF!$D$68+DCF!$E$67/(1+E$14)^DCF!$E$68+DCF!$F$67/(1+E$14)^DCF!$F$68+DCF!$G$67/(1+E$14)^DCF!$G$68+DCF!$H$67/(1+E$14)^DCF!$H$68+DCF!$I$67/(1+E$14)^DCF!$I$68+DCF!$J$67/(1+E$14)^DCF!$J$68+DCF!$J$63*(1+Assumptions!$C$24)*(1-Assumptions!$C$24/Assumptions!$C$25)/(E$14-Assumptions!$C$24)/(1+E$14)^6.5-WACC!$C$15+Assumptions!$C$11)/Assumptions!$C$6</f>
        <v>100.31221541205208</v>
      </c>
      <c r="F15" s="43">
        <f>(DCF!$D$67/(1+F$14)^DCF!$D$68+DCF!$E$67/(1+F$14)^DCF!$E$68+DCF!$F$67/(1+F$14)^DCF!$F$68+DCF!$G$67/(1+F$14)^DCF!$G$68+DCF!$H$67/(1+F$14)^DCF!$H$68+DCF!$I$67/(1+F$14)^DCF!$I$68+DCF!$J$67/(1+F$14)^DCF!$J$68+DCF!$J$63*(1+Assumptions!$C$24)*(1-Assumptions!$C$24/Assumptions!$C$25)/(F$14-Assumptions!$C$24)/(1+F$14)^6.5-WACC!$C$15+Assumptions!$C$11)/Assumptions!$C$6</f>
        <v>83.932637889329271</v>
      </c>
      <c r="G15" s="43">
        <f>(DCF!$D$67/(1+G$14)^DCF!$D$68+DCF!$E$67/(1+G$14)^DCF!$E$68+DCF!$F$67/(1+G$14)^DCF!$F$68+DCF!$G$67/(1+G$14)^DCF!$G$68+DCF!$H$67/(1+G$14)^DCF!$H$68+DCF!$I$67/(1+G$14)^DCF!$I$68+DCF!$J$67/(1+G$14)^DCF!$J$68+DCF!$J$63*(1+Assumptions!$C$24)*(1-Assumptions!$C$24/Assumptions!$C$25)/(G$14-Assumptions!$C$24)/(1+G$14)^6.5-WACC!$C$15+Assumptions!$C$11)/Assumptions!$C$6</f>
        <v>70.003423913491233</v>
      </c>
      <c r="H15" s="43">
        <f>(DCF!$D$67/(1+H$14)^DCF!$D$68+DCF!$E$67/(1+H$14)^DCF!$E$68+DCF!$F$67/(1+H$14)^DCF!$F$68+DCF!$G$67/(1+H$14)^DCF!$G$68+DCF!$H$67/(1+H$14)^DCF!$H$68+DCF!$I$67/(1+H$14)^DCF!$I$68+DCF!$J$67/(1+H$14)^DCF!$J$68+DCF!$J$63*(1+Assumptions!$C$24)*(1-Assumptions!$C$24/Assumptions!$C$25)/(H$14-Assumptions!$C$24)/(1+H$14)^6.5-WACC!$C$15+Assumptions!$C$11)/Assumptions!$C$6</f>
        <v>58.03085036281383</v>
      </c>
      <c r="I15" s="43">
        <f>(DCF!$D$67/(1+I$14)^DCF!$D$68+DCF!$E$67/(1+I$14)^DCF!$E$68+DCF!$F$67/(1+I$14)^DCF!$F$68+DCF!$G$67/(1+I$14)^DCF!$G$68+DCF!$H$67/(1+I$14)^DCF!$H$68+DCF!$I$67/(1+I$14)^DCF!$I$68+DCF!$J$67/(1+I$14)^DCF!$J$68+DCF!$J$63*(1+Assumptions!$C$24)*(1-Assumptions!$C$24/Assumptions!$C$25)/(I$14-Assumptions!$C$24)/(1+I$14)^6.5-WACC!$C$15+Assumptions!$C$11)/Assumptions!$C$6</f>
        <v>47.644765684936537</v>
      </c>
      <c r="J15" s="43">
        <f>(DCF!$D$67/(1+J$14)^DCF!$D$68+DCF!$E$67/(1+J$14)^DCF!$E$68+DCF!$F$67/(1+J$14)^DCF!$F$68+DCF!$G$67/(1+J$14)^DCF!$G$68+DCF!$H$67/(1+J$14)^DCF!$H$68+DCF!$I$67/(1+J$14)^DCF!$I$68+DCF!$J$67/(1+J$14)^DCF!$J$68+DCF!$J$63*(1+Assumptions!$C$24)*(1-Assumptions!$C$24/Assumptions!$C$25)/(J$14-Assumptions!$C$24)/(1+J$14)^6.5-WACC!$C$15+Assumptions!$C$11)/Assumptions!$C$6</f>
        <v>38.562239211233148</v>
      </c>
    </row>
    <row r="16" spans="1:10" x14ac:dyDescent="0.2">
      <c r="A16" s="4" t="s">
        <v>549</v>
      </c>
      <c r="B16" s="44">
        <f>IF(AND(Assumptions!$C$5&lt;=B15,Assumptions!$C$5&gt;=C15),B14+(B15-Assumptions!$C$5)/(B15-C15)*(C14-B14),IF(AND(Assumptions!$C$5&lt;=C15,Assumptions!$C$5&gt;=D15),C14+(C15-Assumptions!$C$5)/(C15-D15)*(D14-C14),IF(AND(Assumptions!$C$5&lt;=D15,Assumptions!$C$5&gt;=E15),D14+(D15-Assumptions!$C$5)/(D15-E15)*(E14-D14),IF(AND(Assumptions!$C$5&lt;=E15,Assumptions!$C$5&gt;=F15),E14+(E15-Assumptions!$C$5)/(E15-F15)*(F14-E14),IF(AND(Assumptions!$C$5&lt;=F15,Assumptions!$C$5&gt;=G15),F14+(F15-Assumptions!$C$5)/(F15-G15)*(G14-F14),IF(AND(Assumptions!$C$5&lt;=G15,Assumptions!$C$5&gt;=H15),G14+(G15-Assumptions!$C$5)/(G15-H15)*(H14-G14),IF(AND(Assumptions!$C$5&lt;=H15,Assumptions!$C$5&gt;=I15),H14+(H15-Assumptions!$C$5)/(H15-I15)*(I14-H14),IF(AND(Assumptions!$C$5&lt;=I15,Assumptions!$C$5&gt;=J15),I14+(I15-Assumptions!$C$5)/(I15-J15)*(J14-I14),"вне сетки"))))))))</f>
        <v>8.4251981089500147E-2</v>
      </c>
      <c r="C16" s="2"/>
      <c r="D16" s="2"/>
      <c r="E16" s="2"/>
      <c r="F16" s="2"/>
      <c r="G16" s="2"/>
      <c r="H16" s="2"/>
      <c r="I16" s="2"/>
      <c r="J16" s="2"/>
    </row>
    <row r="17" spans="1:10" x14ac:dyDescent="0.2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">
      <c r="A18" s="4" t="s">
        <v>550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">
      <c r="A19" s="23" t="s">
        <v>551</v>
      </c>
      <c r="B19" s="45">
        <v>-0.04</v>
      </c>
      <c r="C19" s="45">
        <v>-0.02</v>
      </c>
      <c r="D19" s="45">
        <v>0</v>
      </c>
      <c r="E19" s="45">
        <v>0.02</v>
      </c>
      <c r="F19" s="45">
        <v>0.04</v>
      </c>
      <c r="G19" s="2"/>
      <c r="H19" s="2"/>
      <c r="I19" s="2"/>
      <c r="J19" s="2"/>
    </row>
    <row r="20" spans="1:10" x14ac:dyDescent="0.2">
      <c r="A20" s="46">
        <v>2.7</v>
      </c>
      <c r="B20" s="24">
        <f>((DCF!$E$55+DCF!$E$45*DCF!$E$49/100*B$19*(1-Assumptions!$D$16)-DCF!$E$45*DCF!$E$46/1000*($A20-DCF!$E$47))-MAX(0,(DCF!$E$55+DCF!$E$45*DCF!$E$49/100*B$19*(1-Assumptions!$D$16)-DCF!$E$45*DCF!$E$46/1000*($A20-DCF!$E$47)))*Assumptions!$D$17-Assumptions!$D$22)*(1-Assumptions!$C$10)/Assumptions!$C$6</f>
        <v>9.0572612594943624</v>
      </c>
      <c r="C20" s="24">
        <f>((DCF!$E$55+DCF!$E$45*DCF!$E$49/100*C$19*(1-Assumptions!$D$16)-DCF!$E$45*DCF!$E$46/1000*($A20-DCF!$E$47))-MAX(0,(DCF!$E$55+DCF!$E$45*DCF!$E$49/100*C$19*(1-Assumptions!$D$16)-DCF!$E$45*DCF!$E$46/1000*($A20-DCF!$E$47)))*Assumptions!$D$17-Assumptions!$D$22)*(1-Assumptions!$C$10)/Assumptions!$C$6</f>
        <v>11.956372493967184</v>
      </c>
      <c r="D20" s="24">
        <f>((DCF!$E$55+DCF!$E$45*DCF!$E$49/100*D$19*(1-Assumptions!$D$16)-DCF!$E$45*DCF!$E$46/1000*($A20-DCF!$E$47))-MAX(0,(DCF!$E$55+DCF!$E$45*DCF!$E$49/100*D$19*(1-Assumptions!$D$16)-DCF!$E$45*DCF!$E$46/1000*($A20-DCF!$E$47)))*Assumptions!$D$17-Assumptions!$D$22)*(1-Assumptions!$C$10)/Assumptions!$C$6</f>
        <v>14.855483728440008</v>
      </c>
      <c r="E20" s="24">
        <f>((DCF!$E$55+DCF!$E$45*DCF!$E$49/100*E$19*(1-Assumptions!$D$16)-DCF!$E$45*DCF!$E$46/1000*($A20-DCF!$E$47))-MAX(0,(DCF!$E$55+DCF!$E$45*DCF!$E$49/100*E$19*(1-Assumptions!$D$16)-DCF!$E$45*DCF!$E$46/1000*($A20-DCF!$E$47)))*Assumptions!$D$17-Assumptions!$D$22)*(1-Assumptions!$C$10)/Assumptions!$C$6</f>
        <v>17.754594962912833</v>
      </c>
      <c r="F20" s="24">
        <f>((DCF!$E$55+DCF!$E$45*DCF!$E$49/100*F$19*(1-Assumptions!$D$16)-DCF!$E$45*DCF!$E$46/1000*($A20-DCF!$E$47))-MAX(0,(DCF!$E$55+DCF!$E$45*DCF!$E$49/100*F$19*(1-Assumptions!$D$16)-DCF!$E$45*DCF!$E$46/1000*($A20-DCF!$E$47)))*Assumptions!$D$17-Assumptions!$D$22)*(1-Assumptions!$C$10)/Assumptions!$C$6</f>
        <v>20.653706197385652</v>
      </c>
      <c r="G20" s="2"/>
      <c r="H20" s="2"/>
      <c r="I20" s="2"/>
      <c r="J20" s="2"/>
    </row>
    <row r="21" spans="1:10" x14ac:dyDescent="0.2">
      <c r="A21" s="46">
        <v>3</v>
      </c>
      <c r="B21" s="24">
        <f>((DCF!$E$55+DCF!$E$45*DCF!$E$49/100*B$19*(1-Assumptions!$D$16)-DCF!$E$45*DCF!$E$46/1000*($A21-DCF!$E$47))-MAX(0,(DCF!$E$55+DCF!$E$45*DCF!$E$49/100*B$19*(1-Assumptions!$D$16)-DCF!$E$45*DCF!$E$46/1000*($A21-DCF!$E$47)))*Assumptions!$D$17-Assumptions!$D$22)*(1-Assumptions!$C$10)/Assumptions!$C$6</f>
        <v>5.985585584474352</v>
      </c>
      <c r="C21" s="24">
        <f>((DCF!$E$55+DCF!$E$45*DCF!$E$49/100*C$19*(1-Assumptions!$D$16)-DCF!$E$45*DCF!$E$46/1000*($A21-DCF!$E$47))-MAX(0,(DCF!$E$55+DCF!$E$45*DCF!$E$49/100*C$19*(1-Assumptions!$D$16)-DCF!$E$45*DCF!$E$46/1000*($A21-DCF!$E$47)))*Assumptions!$D$17-Assumptions!$D$22)*(1-Assumptions!$C$10)/Assumptions!$C$6</f>
        <v>8.8846968189471749</v>
      </c>
      <c r="D21" s="24">
        <f>((DCF!$E$55+DCF!$E$45*DCF!$E$49/100*D$19*(1-Assumptions!$D$16)-DCF!$E$45*DCF!$E$46/1000*($A21-DCF!$E$47))-MAX(0,(DCF!$E$55+DCF!$E$45*DCF!$E$49/100*D$19*(1-Assumptions!$D$16)-DCF!$E$45*DCF!$E$46/1000*($A21-DCF!$E$47)))*Assumptions!$D$17-Assumptions!$D$22)*(1-Assumptions!$C$10)/Assumptions!$C$6</f>
        <v>11.78380805342</v>
      </c>
      <c r="E21" s="24">
        <f>((DCF!$E$55+DCF!$E$45*DCF!$E$49/100*E$19*(1-Assumptions!$D$16)-DCF!$E$45*DCF!$E$46/1000*($A21-DCF!$E$47))-MAX(0,(DCF!$E$55+DCF!$E$45*DCF!$E$49/100*E$19*(1-Assumptions!$D$16)-DCF!$E$45*DCF!$E$46/1000*($A21-DCF!$E$47)))*Assumptions!$D$17-Assumptions!$D$22)*(1-Assumptions!$C$10)/Assumptions!$C$6</f>
        <v>14.682919287892821</v>
      </c>
      <c r="F21" s="24">
        <f>((DCF!$E$55+DCF!$E$45*DCF!$E$49/100*F$19*(1-Assumptions!$D$16)-DCF!$E$45*DCF!$E$46/1000*($A21-DCF!$E$47))-MAX(0,(DCF!$E$55+DCF!$E$45*DCF!$E$49/100*F$19*(1-Assumptions!$D$16)-DCF!$E$45*DCF!$E$46/1000*($A21-DCF!$E$47)))*Assumptions!$D$17-Assumptions!$D$22)*(1-Assumptions!$C$10)/Assumptions!$C$6</f>
        <v>17.582030522365649</v>
      </c>
      <c r="G21" s="2"/>
      <c r="H21" s="2"/>
      <c r="I21" s="2"/>
      <c r="J21" s="2"/>
    </row>
    <row r="22" spans="1:10" x14ac:dyDescent="0.2">
      <c r="A22" s="46">
        <v>3.3</v>
      </c>
      <c r="B22" s="24">
        <f>((DCF!$E$55+DCF!$E$45*DCF!$E$49/100*B$19*(1-Assumptions!$D$16)-DCF!$E$45*DCF!$E$46/1000*($A22-DCF!$E$47))-MAX(0,(DCF!$E$55+DCF!$E$45*DCF!$E$49/100*B$19*(1-Assumptions!$D$16)-DCF!$E$45*DCF!$E$46/1000*($A22-DCF!$E$47)))*Assumptions!$D$17-Assumptions!$D$22)*(1-Assumptions!$C$10)/Assumptions!$C$6</f>
        <v>2.9139099094543419</v>
      </c>
      <c r="C22" s="24">
        <f>((DCF!$E$55+DCF!$E$45*DCF!$E$49/100*C$19*(1-Assumptions!$D$16)-DCF!$E$45*DCF!$E$46/1000*($A22-DCF!$E$47))-MAX(0,(DCF!$E$55+DCF!$E$45*DCF!$E$49/100*C$19*(1-Assumptions!$D$16)-DCF!$E$45*DCF!$E$46/1000*($A22-DCF!$E$47)))*Assumptions!$D$17-Assumptions!$D$22)*(1-Assumptions!$C$10)/Assumptions!$C$6</f>
        <v>5.8130211439271644</v>
      </c>
      <c r="D22" s="24">
        <f>((DCF!$E$55+DCF!$E$45*DCF!$E$49/100*D$19*(1-Assumptions!$D$16)-DCF!$E$45*DCF!$E$46/1000*($A22-DCF!$E$47))-MAX(0,(DCF!$E$55+DCF!$E$45*DCF!$E$49/100*D$19*(1-Assumptions!$D$16)-DCF!$E$45*DCF!$E$46/1000*($A22-DCF!$E$47)))*Assumptions!$D$17-Assumptions!$D$22)*(1-Assumptions!$C$10)/Assumptions!$C$6</f>
        <v>8.7121323783999873</v>
      </c>
      <c r="E22" s="24">
        <f>((DCF!$E$55+DCF!$E$45*DCF!$E$49/100*E$19*(1-Assumptions!$D$16)-DCF!$E$45*DCF!$E$46/1000*($A22-DCF!$E$47))-MAX(0,(DCF!$E$55+DCF!$E$45*DCF!$E$49/100*E$19*(1-Assumptions!$D$16)-DCF!$E$45*DCF!$E$46/1000*($A22-DCF!$E$47)))*Assumptions!$D$17-Assumptions!$D$22)*(1-Assumptions!$C$10)/Assumptions!$C$6</f>
        <v>11.611243612872812</v>
      </c>
      <c r="F22" s="24">
        <f>((DCF!$E$55+DCF!$E$45*DCF!$E$49/100*F$19*(1-Assumptions!$D$16)-DCF!$E$45*DCF!$E$46/1000*($A22-DCF!$E$47))-MAX(0,(DCF!$E$55+DCF!$E$45*DCF!$E$49/100*F$19*(1-Assumptions!$D$16)-DCF!$E$45*DCF!$E$46/1000*($A22-DCF!$E$47)))*Assumptions!$D$17-Assumptions!$D$22)*(1-Assumptions!$C$10)/Assumptions!$C$6</f>
        <v>14.510354847345635</v>
      </c>
      <c r="G22" s="2"/>
      <c r="H22" s="2"/>
      <c r="I22" s="2"/>
      <c r="J22" s="2"/>
    </row>
    <row r="23" spans="1:10" x14ac:dyDescent="0.2">
      <c r="A23" s="46">
        <v>3.6</v>
      </c>
      <c r="B23" s="24">
        <f>((DCF!$E$55+DCF!$E$45*DCF!$E$49/100*B$19*(1-Assumptions!$D$16)-DCF!$E$45*DCF!$E$46/1000*($A23-DCF!$E$47))-MAX(0,(DCF!$E$55+DCF!$E$45*DCF!$E$49/100*B$19*(1-Assumptions!$D$16)-DCF!$E$45*DCF!$E$46/1000*($A23-DCF!$E$47)))*Assumptions!$D$17-Assumptions!$D$22)*(1-Assumptions!$C$10)/Assumptions!$C$6</f>
        <v>-0.15776576556567251</v>
      </c>
      <c r="C23" s="24">
        <f>((DCF!$E$55+DCF!$E$45*DCF!$E$49/100*C$19*(1-Assumptions!$D$16)-DCF!$E$45*DCF!$E$46/1000*($A23-DCF!$E$47))-MAX(0,(DCF!$E$55+DCF!$E$45*DCF!$E$49/100*C$19*(1-Assumptions!$D$16)-DCF!$E$45*DCF!$E$46/1000*($A23-DCF!$E$47)))*Assumptions!$D$17-Assumptions!$D$22)*(1-Assumptions!$C$10)/Assumptions!$C$6</f>
        <v>2.7413454689071504</v>
      </c>
      <c r="D23" s="24">
        <f>((DCF!$E$55+DCF!$E$45*DCF!$E$49/100*D$19*(1-Assumptions!$D$16)-DCF!$E$45*DCF!$E$46/1000*($A23-DCF!$E$47))-MAX(0,(DCF!$E$55+DCF!$E$45*DCF!$E$49/100*D$19*(1-Assumptions!$D$16)-DCF!$E$45*DCF!$E$46/1000*($A23-DCF!$E$47)))*Assumptions!$D$17-Assumptions!$D$22)*(1-Assumptions!$C$10)/Assumptions!$C$6</f>
        <v>5.6404567033799733</v>
      </c>
      <c r="E23" s="24">
        <f>((DCF!$E$55+DCF!$E$45*DCF!$E$49/100*E$19*(1-Assumptions!$D$16)-DCF!$E$45*DCF!$E$46/1000*($A23-DCF!$E$47))-MAX(0,(DCF!$E$55+DCF!$E$45*DCF!$E$49/100*E$19*(1-Assumptions!$D$16)-DCF!$E$45*DCF!$E$46/1000*($A23-DCF!$E$47)))*Assumptions!$D$17-Assumptions!$D$22)*(1-Assumptions!$C$10)/Assumptions!$C$6</f>
        <v>8.539567937852798</v>
      </c>
      <c r="F23" s="24">
        <f>((DCF!$E$55+DCF!$E$45*DCF!$E$49/100*F$19*(1-Assumptions!$D$16)-DCF!$E$45*DCF!$E$46/1000*($A23-DCF!$E$47))-MAX(0,(DCF!$E$55+DCF!$E$45*DCF!$E$49/100*F$19*(1-Assumptions!$D$16)-DCF!$E$45*DCF!$E$46/1000*($A23-DCF!$E$47)))*Assumptions!$D$17-Assumptions!$D$22)*(1-Assumptions!$C$10)/Assumptions!$C$6</f>
        <v>11.438679172325621</v>
      </c>
      <c r="G23" s="2"/>
      <c r="H23" s="2"/>
      <c r="I23" s="2"/>
      <c r="J23" s="2"/>
    </row>
    <row r="24" spans="1:10" x14ac:dyDescent="0.2">
      <c r="A24" s="46">
        <v>3.9</v>
      </c>
      <c r="B24" s="24">
        <f>((DCF!$E$55+DCF!$E$45*DCF!$E$49/100*B$19*(1-Assumptions!$D$16)-DCF!$E$45*DCF!$E$46/1000*($A24-DCF!$E$47))-MAX(0,(DCF!$E$55+DCF!$E$45*DCF!$E$49/100*B$19*(1-Assumptions!$D$16)-DCF!$E$45*DCF!$E$46/1000*($A24-DCF!$E$47)))*Assumptions!$D$17-Assumptions!$D$22)*(1-Assumptions!$C$10)/Assumptions!$C$6</f>
        <v>-3.4907016314621866</v>
      </c>
      <c r="C24" s="24">
        <f>((DCF!$E$55+DCF!$E$45*DCF!$E$49/100*C$19*(1-Assumptions!$D$16)-DCF!$E$45*DCF!$E$46/1000*($A24-DCF!$E$47))-MAX(0,(DCF!$E$55+DCF!$E$45*DCF!$E$49/100*C$19*(1-Assumptions!$D$16)-DCF!$E$45*DCF!$E$46/1000*($A24-DCF!$E$47)))*Assumptions!$D$17-Assumptions!$D$22)*(1-Assumptions!$C$10)/Assumptions!$C$6</f>
        <v>-0.33033020611286018</v>
      </c>
      <c r="D24" s="24">
        <f>((DCF!$E$55+DCF!$E$45*DCF!$E$49/100*D$19*(1-Assumptions!$D$16)-DCF!$E$45*DCF!$E$46/1000*($A24-DCF!$E$47))-MAX(0,(DCF!$E$55+DCF!$E$45*DCF!$E$49/100*D$19*(1-Assumptions!$D$16)-DCF!$E$45*DCF!$E$46/1000*($A24-DCF!$E$47)))*Assumptions!$D$17-Assumptions!$D$22)*(1-Assumptions!$C$10)/Assumptions!$C$6</f>
        <v>2.5687810283599637</v>
      </c>
      <c r="E24" s="24">
        <f>((DCF!$E$55+DCF!$E$45*DCF!$E$49/100*E$19*(1-Assumptions!$D$16)-DCF!$E$45*DCF!$E$46/1000*($A24-DCF!$E$47))-MAX(0,(DCF!$E$55+DCF!$E$45*DCF!$E$49/100*E$19*(1-Assumptions!$D$16)-DCF!$E$45*DCF!$E$46/1000*($A24-DCF!$E$47)))*Assumptions!$D$17-Assumptions!$D$22)*(1-Assumptions!$C$10)/Assumptions!$C$6</f>
        <v>5.4678922628327875</v>
      </c>
      <c r="F24" s="24">
        <f>((DCF!$E$55+DCF!$E$45*DCF!$E$49/100*F$19*(1-Assumptions!$D$16)-DCF!$E$45*DCF!$E$46/1000*($A24-DCF!$E$47))-MAX(0,(DCF!$E$55+DCF!$E$45*DCF!$E$49/100*F$19*(1-Assumptions!$D$16)-DCF!$E$45*DCF!$E$46/1000*($A24-DCF!$E$47)))*Assumptions!$D$17-Assumptions!$D$22)*(1-Assumptions!$C$10)/Assumptions!$C$6</f>
        <v>8.3670034973056104</v>
      </c>
      <c r="G24" s="2"/>
      <c r="H24" s="2"/>
      <c r="I24" s="2"/>
      <c r="J24" s="2"/>
    </row>
    <row r="25" spans="1:10" x14ac:dyDescent="0.2">
      <c r="A25" s="46">
        <v>4.2</v>
      </c>
      <c r="B25" s="24">
        <f>((DCF!$E$55+DCF!$E$45*DCF!$E$49/100*B$19*(1-Assumptions!$D$16)-DCF!$E$45*DCF!$E$46/1000*($A25-DCF!$E$47))-MAX(0,(DCF!$E$55+DCF!$E$45*DCF!$E$49/100*B$19*(1-Assumptions!$D$16)-DCF!$E$45*DCF!$E$46/1000*($A25-DCF!$E$47)))*Assumptions!$D$17-Assumptions!$D$22)*(1-Assumptions!$C$10)/Assumptions!$C$6</f>
        <v>-6.981242171257656</v>
      </c>
      <c r="C25" s="24">
        <f>((DCF!$E$55+DCF!$E$45*DCF!$E$49/100*C$19*(1-Assumptions!$D$16)-DCF!$E$45*DCF!$E$46/1000*($A25-DCF!$E$47))-MAX(0,(DCF!$E$55+DCF!$E$45*DCF!$E$49/100*C$19*(1-Assumptions!$D$16)-DCF!$E$45*DCF!$E$46/1000*($A25-DCF!$E$47)))*Assumptions!$D$17-Assumptions!$D$22)*(1-Assumptions!$C$10)/Assumptions!$C$6</f>
        <v>-3.6867975866294489</v>
      </c>
      <c r="D25" s="24">
        <f>((DCF!$E$55+DCF!$E$45*DCF!$E$49/100*D$19*(1-Assumptions!$D$16)-DCF!$E$45*DCF!$E$46/1000*($A25-DCF!$E$47))-MAX(0,(DCF!$E$55+DCF!$E$45*DCF!$E$49/100*D$19*(1-Assumptions!$D$16)-DCF!$E$45*DCF!$E$46/1000*($A25-DCF!$E$47)))*Assumptions!$D$17-Assumptions!$D$22)*(1-Assumptions!$C$10)/Assumptions!$C$6</f>
        <v>-0.50289464666005013</v>
      </c>
      <c r="E25" s="24">
        <f>((DCF!$E$55+DCF!$E$45*DCF!$E$49/100*E$19*(1-Assumptions!$D$16)-DCF!$E$45*DCF!$E$46/1000*($A25-DCF!$E$47))-MAX(0,(DCF!$E$55+DCF!$E$45*DCF!$E$49/100*E$19*(1-Assumptions!$D$16)-DCF!$E$45*DCF!$E$46/1000*($A25-DCF!$E$47)))*Assumptions!$D$17-Assumptions!$D$22)*(1-Assumptions!$C$10)/Assumptions!$C$6</f>
        <v>2.3962165878127739</v>
      </c>
      <c r="F25" s="24">
        <f>((DCF!$E$55+DCF!$E$45*DCF!$E$49/100*F$19*(1-Assumptions!$D$16)-DCF!$E$45*DCF!$E$46/1000*($A25-DCF!$E$47))-MAX(0,(DCF!$E$55+DCF!$E$45*DCF!$E$49/100*F$19*(1-Assumptions!$D$16)-DCF!$E$45*DCF!$E$46/1000*($A25-DCF!$E$47)))*Assumptions!$D$17-Assumptions!$D$22)*(1-Assumptions!$C$10)/Assumptions!$C$6</f>
        <v>5.2953278222855973</v>
      </c>
      <c r="G25" s="2"/>
      <c r="H25" s="2"/>
      <c r="I25" s="2"/>
      <c r="J25" s="2"/>
    </row>
    <row r="26" spans="1:10" x14ac:dyDescent="0.2">
      <c r="A26" s="9" t="s">
        <v>552</v>
      </c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">
      <c r="A28" s="4" t="s">
        <v>553</v>
      </c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2">
      <c r="A29" s="23"/>
      <c r="B29" s="23" t="s">
        <v>32</v>
      </c>
      <c r="C29" s="23" t="s">
        <v>554</v>
      </c>
      <c r="D29" s="2"/>
      <c r="E29" s="2"/>
      <c r="F29" s="2"/>
      <c r="G29" s="2"/>
      <c r="H29" s="2"/>
      <c r="I29" s="2"/>
      <c r="J29" s="2"/>
    </row>
    <row r="30" spans="1:10" x14ac:dyDescent="0.2">
      <c r="A30" s="2" t="s">
        <v>555</v>
      </c>
      <c r="B30" s="47">
        <f>-Hist!$L$24*0.1</f>
        <v>-1407</v>
      </c>
      <c r="C30" s="47">
        <f>-DCF!$E$53*0.1</f>
        <v>-1607.7071722139999</v>
      </c>
      <c r="D30" s="2"/>
      <c r="E30" s="2"/>
      <c r="F30" s="2"/>
      <c r="G30" s="2"/>
      <c r="H30" s="2"/>
      <c r="I30" s="2"/>
      <c r="J30" s="2"/>
    </row>
    <row r="31" spans="1:10" x14ac:dyDescent="0.2">
      <c r="A31" s="2" t="s">
        <v>556</v>
      </c>
      <c r="B31" s="47">
        <f>Hist!$L$24*0.1</f>
        <v>1407</v>
      </c>
      <c r="C31" s="47">
        <f>DCF!$E$53*0.1</f>
        <v>1607.7071722139999</v>
      </c>
      <c r="D31" s="2"/>
      <c r="E31" s="2"/>
      <c r="F31" s="2"/>
      <c r="G31" s="2"/>
      <c r="H31" s="2"/>
      <c r="I31" s="2"/>
      <c r="J31" s="2"/>
    </row>
    <row r="32" spans="1:10" x14ac:dyDescent="0.2">
      <c r="A32" s="2" t="s">
        <v>557</v>
      </c>
      <c r="B32" s="47">
        <f>Hist!$L$19*0.01</f>
        <v>629.02</v>
      </c>
      <c r="C32" s="47">
        <f>DCF!$E$50*0.01</f>
        <v>692.839316243334</v>
      </c>
      <c r="D32" s="2"/>
      <c r="E32" s="2"/>
      <c r="F32" s="2"/>
      <c r="G32" s="2"/>
      <c r="H32" s="2"/>
      <c r="I32" s="2"/>
      <c r="J32" s="2"/>
    </row>
    <row r="33" spans="1:10" x14ac:dyDescent="0.2">
      <c r="A33" s="2" t="s">
        <v>558</v>
      </c>
      <c r="B33" s="47">
        <f>-Hist!$L$19*0.01</f>
        <v>-629.02</v>
      </c>
      <c r="C33" s="47">
        <f>-DCF!$E$50*0.01</f>
        <v>-692.839316243334</v>
      </c>
      <c r="D33" s="2"/>
      <c r="E33" s="2"/>
      <c r="F33" s="2"/>
      <c r="G33" s="2"/>
      <c r="H33" s="2"/>
      <c r="I33" s="2"/>
      <c r="J33" s="2"/>
    </row>
    <row r="34" spans="1:10" x14ac:dyDescent="0.2">
      <c r="A34" s="2" t="s">
        <v>559</v>
      </c>
      <c r="B34" s="47">
        <f>Hist!$L$31</f>
        <v>4259</v>
      </c>
      <c r="C34" s="47">
        <f>DCF!$E$57</f>
        <v>4197.9261984428667</v>
      </c>
      <c r="D34" s="2"/>
      <c r="E34" s="2"/>
      <c r="F34" s="2"/>
      <c r="G34" s="2"/>
      <c r="H34" s="2"/>
      <c r="I34" s="2"/>
      <c r="J34" s="2"/>
    </row>
    <row r="35" spans="1:10" x14ac:dyDescent="0.2">
      <c r="A35" s="2" t="s">
        <v>560</v>
      </c>
      <c r="B35" s="48">
        <f>B30/B34</f>
        <v>-0.33035923925804178</v>
      </c>
      <c r="C35" s="48">
        <f>C30/C34</f>
        <v>-0.38297652131434456</v>
      </c>
      <c r="D35" s="2"/>
      <c r="E35" s="2"/>
      <c r="F35" s="2"/>
      <c r="G35" s="2"/>
      <c r="H35" s="2"/>
      <c r="I35" s="2"/>
      <c r="J35" s="2"/>
    </row>
    <row r="36" spans="1:10" x14ac:dyDescent="0.2">
      <c r="A36" s="2" t="s">
        <v>561</v>
      </c>
      <c r="B36" s="48">
        <f>B32/B34</f>
        <v>0.14769194646630665</v>
      </c>
      <c r="C36" s="48">
        <f>C32/C34</f>
        <v>0.16504323408551783</v>
      </c>
      <c r="D36" s="2"/>
      <c r="E36" s="2"/>
      <c r="F36" s="2"/>
      <c r="G36" s="2"/>
      <c r="H36" s="2"/>
      <c r="I36" s="2"/>
      <c r="J36" s="2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5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6" customWidth="1"/>
    <col min="2" max="2" width="9" customWidth="1"/>
    <col min="3" max="8" width="13" customWidth="1"/>
    <col min="9" max="9" width="11" customWidth="1"/>
    <col min="10" max="10" width="70" customWidth="1"/>
  </cols>
  <sheetData>
    <row r="1" spans="1:10" ht="16" x14ac:dyDescent="0.2">
      <c r="A1" s="1" t="s">
        <v>562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2">
      <c r="A3" s="5" t="s">
        <v>563</v>
      </c>
      <c r="B3" s="5"/>
      <c r="C3" s="6" t="s">
        <v>564</v>
      </c>
      <c r="D3" s="6" t="s">
        <v>565</v>
      </c>
      <c r="E3" s="6" t="s">
        <v>566</v>
      </c>
      <c r="F3" s="6" t="s">
        <v>567</v>
      </c>
      <c r="G3" s="6" t="s">
        <v>568</v>
      </c>
      <c r="H3" s="6" t="s">
        <v>569</v>
      </c>
      <c r="I3" s="6" t="s">
        <v>570</v>
      </c>
      <c r="J3" s="6" t="s">
        <v>33</v>
      </c>
    </row>
    <row r="4" spans="1:10" x14ac:dyDescent="0.2">
      <c r="A4" s="3" t="s">
        <v>571</v>
      </c>
      <c r="B4" s="9" t="s">
        <v>572</v>
      </c>
      <c r="C4" s="13">
        <v>5</v>
      </c>
      <c r="D4" s="13">
        <v>2.8</v>
      </c>
      <c r="E4" s="13">
        <v>2.6</v>
      </c>
      <c r="F4" s="13">
        <v>3.6</v>
      </c>
      <c r="G4" s="13">
        <v>3</v>
      </c>
      <c r="H4" s="13">
        <v>9</v>
      </c>
      <c r="I4" s="14">
        <f>SUM(C4:H4)</f>
        <v>26</v>
      </c>
      <c r="J4" s="9" t="s">
        <v>573</v>
      </c>
    </row>
    <row r="5" spans="1:10" x14ac:dyDescent="0.2">
      <c r="A5" s="3" t="s">
        <v>574</v>
      </c>
      <c r="B5" s="9" t="s">
        <v>572</v>
      </c>
      <c r="C5" s="13">
        <v>0.1</v>
      </c>
      <c r="D5" s="13">
        <v>0.2</v>
      </c>
      <c r="E5" s="13">
        <v>0.1</v>
      </c>
      <c r="F5" s="13">
        <v>0</v>
      </c>
      <c r="G5" s="13">
        <v>0</v>
      </c>
      <c r="H5" s="13">
        <v>0</v>
      </c>
      <c r="I5" s="14">
        <f>SUM(C5:H5)</f>
        <v>0.4</v>
      </c>
      <c r="J5" s="9" t="s">
        <v>573</v>
      </c>
    </row>
    <row r="6" spans="1:10" x14ac:dyDescent="0.2">
      <c r="A6" s="3" t="s">
        <v>575</v>
      </c>
      <c r="B6" s="9" t="s">
        <v>572</v>
      </c>
      <c r="C6" s="13">
        <v>0.9</v>
      </c>
      <c r="D6" s="13">
        <v>1.1000000000000001</v>
      </c>
      <c r="E6" s="13">
        <v>0.9</v>
      </c>
      <c r="F6" s="13">
        <v>0.7</v>
      </c>
      <c r="G6" s="13">
        <v>0.8</v>
      </c>
      <c r="H6" s="13">
        <v>3.6</v>
      </c>
      <c r="I6" s="14">
        <f>SUM(C6:H6)</f>
        <v>8</v>
      </c>
      <c r="J6" s="9" t="s">
        <v>573</v>
      </c>
    </row>
    <row r="7" spans="1:10" x14ac:dyDescent="0.2">
      <c r="A7" s="3" t="s">
        <v>576</v>
      </c>
      <c r="B7" s="9" t="s">
        <v>572</v>
      </c>
      <c r="C7" s="13">
        <v>0.4</v>
      </c>
      <c r="D7" s="13">
        <v>0.6</v>
      </c>
      <c r="E7" s="13">
        <v>0.2</v>
      </c>
      <c r="F7" s="13">
        <v>0.2</v>
      </c>
      <c r="G7" s="13">
        <v>0.2</v>
      </c>
      <c r="H7" s="13">
        <v>2.7</v>
      </c>
      <c r="I7" s="14">
        <f>SUM(C7:H7)</f>
        <v>4.3</v>
      </c>
      <c r="J7" s="9" t="s">
        <v>573</v>
      </c>
    </row>
    <row r="8" spans="1:10" x14ac:dyDescent="0.2">
      <c r="A8" s="3" t="s">
        <v>577</v>
      </c>
      <c r="B8" s="9" t="s">
        <v>572</v>
      </c>
      <c r="C8" s="13">
        <v>12.6</v>
      </c>
      <c r="D8" s="13">
        <v>5.6</v>
      </c>
      <c r="E8" s="13">
        <v>7.4</v>
      </c>
      <c r="F8" s="13">
        <v>9</v>
      </c>
      <c r="G8" s="13">
        <v>8.6999999999999993</v>
      </c>
      <c r="H8" s="13">
        <v>13.8</v>
      </c>
      <c r="I8" s="14">
        <f>SUM(C8:H8)</f>
        <v>57.099999999999994</v>
      </c>
      <c r="J8" s="9" t="s">
        <v>573</v>
      </c>
    </row>
    <row r="9" spans="1:10" x14ac:dyDescent="0.2">
      <c r="A9" s="4" t="s">
        <v>578</v>
      </c>
      <c r="B9" s="9" t="s">
        <v>572</v>
      </c>
      <c r="C9" s="49">
        <f t="shared" ref="C9:I9" si="0">SUM(C4:C7)</f>
        <v>6.4</v>
      </c>
      <c r="D9" s="49">
        <f t="shared" si="0"/>
        <v>4.6999999999999993</v>
      </c>
      <c r="E9" s="49">
        <f t="shared" si="0"/>
        <v>3.8000000000000003</v>
      </c>
      <c r="F9" s="49">
        <f t="shared" si="0"/>
        <v>4.5</v>
      </c>
      <c r="G9" s="49">
        <f t="shared" si="0"/>
        <v>4</v>
      </c>
      <c r="H9" s="49">
        <f t="shared" si="0"/>
        <v>15.3</v>
      </c>
      <c r="I9" s="49">
        <f t="shared" si="0"/>
        <v>38.699999999999996</v>
      </c>
      <c r="J9" s="2"/>
    </row>
    <row r="10" spans="1:10" x14ac:dyDescent="0.2">
      <c r="A10" s="9" t="s">
        <v>579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">
      <c r="A12" s="5" t="s">
        <v>580</v>
      </c>
      <c r="B12" s="5"/>
      <c r="C12" s="6" t="s">
        <v>371</v>
      </c>
      <c r="D12" s="6"/>
      <c r="E12" s="6"/>
      <c r="F12" s="6"/>
      <c r="G12" s="6"/>
      <c r="H12" s="6"/>
      <c r="I12" s="6"/>
      <c r="J12" s="6" t="s">
        <v>33</v>
      </c>
    </row>
    <row r="13" spans="1:10" x14ac:dyDescent="0.2">
      <c r="A13" s="3" t="s">
        <v>581</v>
      </c>
      <c r="B13" s="9" t="s">
        <v>56</v>
      </c>
      <c r="C13" s="10">
        <v>19600</v>
      </c>
      <c r="D13" s="2"/>
      <c r="E13" s="2"/>
      <c r="F13" s="2"/>
      <c r="G13" s="2"/>
      <c r="H13" s="2"/>
      <c r="I13" s="2"/>
      <c r="J13" s="9" t="s">
        <v>582</v>
      </c>
    </row>
    <row r="14" spans="1:10" x14ac:dyDescent="0.2">
      <c r="A14" s="3" t="s">
        <v>583</v>
      </c>
      <c r="B14" s="9" t="s">
        <v>150</v>
      </c>
      <c r="C14" s="22">
        <f>Debt!$C$13/Hist!$L$19</f>
        <v>0.31159581571333184</v>
      </c>
      <c r="D14" s="2"/>
      <c r="E14" s="2"/>
      <c r="F14" s="2"/>
      <c r="G14" s="2"/>
      <c r="H14" s="2"/>
      <c r="I14" s="2"/>
      <c r="J14" s="2"/>
    </row>
    <row r="15" spans="1:10" x14ac:dyDescent="0.2">
      <c r="A15" s="3" t="s">
        <v>584</v>
      </c>
      <c r="B15" s="9" t="s">
        <v>56</v>
      </c>
      <c r="C15" s="10">
        <v>3000</v>
      </c>
      <c r="D15" s="2"/>
      <c r="E15" s="2"/>
      <c r="F15" s="2"/>
      <c r="G15" s="2"/>
      <c r="H15" s="2"/>
      <c r="I15" s="2"/>
      <c r="J15" s="9" t="s">
        <v>585</v>
      </c>
    </row>
    <row r="16" spans="1:10" x14ac:dyDescent="0.2">
      <c r="A16" s="3" t="s">
        <v>586</v>
      </c>
      <c r="B16" s="9" t="s">
        <v>56</v>
      </c>
      <c r="C16" s="10">
        <v>2000</v>
      </c>
      <c r="D16" s="2"/>
      <c r="E16" s="2"/>
      <c r="F16" s="2"/>
      <c r="G16" s="2"/>
      <c r="H16" s="2"/>
      <c r="I16" s="2"/>
      <c r="J16" s="9" t="s">
        <v>585</v>
      </c>
    </row>
    <row r="17" spans="1:10" x14ac:dyDescent="0.2">
      <c r="A17" s="3" t="s">
        <v>587</v>
      </c>
      <c r="B17" s="9"/>
      <c r="C17" s="50" t="s">
        <v>588</v>
      </c>
      <c r="D17" s="2"/>
      <c r="E17" s="2"/>
      <c r="F17" s="2"/>
      <c r="G17" s="2"/>
      <c r="H17" s="2"/>
      <c r="I17" s="2"/>
      <c r="J17" s="9" t="s">
        <v>589</v>
      </c>
    </row>
    <row r="18" spans="1:10" x14ac:dyDescent="0.2">
      <c r="A18" s="3" t="s">
        <v>590</v>
      </c>
      <c r="B18" s="9" t="s">
        <v>56</v>
      </c>
      <c r="C18" s="10">
        <v>755</v>
      </c>
      <c r="D18" s="2"/>
      <c r="E18" s="2"/>
      <c r="F18" s="2"/>
      <c r="G18" s="2"/>
      <c r="H18" s="2"/>
      <c r="I18" s="2"/>
      <c r="J18" s="9" t="s">
        <v>591</v>
      </c>
    </row>
    <row r="19" spans="1:10" x14ac:dyDescent="0.2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">
      <c r="A20" s="5" t="s">
        <v>592</v>
      </c>
      <c r="B20" s="5" t="s">
        <v>192</v>
      </c>
      <c r="C20" s="6" t="s">
        <v>26</v>
      </c>
      <c r="D20" s="6" t="s">
        <v>27</v>
      </c>
      <c r="E20" s="6" t="s">
        <v>28</v>
      </c>
      <c r="F20" s="6" t="s">
        <v>29</v>
      </c>
      <c r="G20" s="6" t="s">
        <v>32</v>
      </c>
      <c r="H20" s="6"/>
      <c r="I20" s="6"/>
      <c r="J20" s="6" t="s">
        <v>33</v>
      </c>
    </row>
    <row r="21" spans="1:10" x14ac:dyDescent="0.2">
      <c r="A21" s="3" t="s">
        <v>203</v>
      </c>
      <c r="B21" s="9" t="s">
        <v>192</v>
      </c>
      <c r="C21" s="14">
        <f>Metrics!$F$46</f>
        <v>4.2892307692307696</v>
      </c>
      <c r="D21" s="14">
        <f>Metrics!$G$46</f>
        <v>2.9448063921327599</v>
      </c>
      <c r="E21" s="14">
        <f>Metrics!$H$46</f>
        <v>2.4263445978105662</v>
      </c>
      <c r="F21" s="14">
        <f>Metrics!$I$46</f>
        <v>2.3840057636887608</v>
      </c>
      <c r="G21" s="14">
        <f>Metrics!$L$46</f>
        <v>2.3424763876310002</v>
      </c>
      <c r="H21" s="2"/>
      <c r="I21" s="2"/>
      <c r="J21" s="2"/>
    </row>
    <row r="22" spans="1:10" x14ac:dyDescent="0.2">
      <c r="A22" s="3" t="s">
        <v>205</v>
      </c>
      <c r="B22" s="9" t="s">
        <v>192</v>
      </c>
      <c r="C22" s="14">
        <f>Metrics!$F$48</f>
        <v>3.6768875700626444</v>
      </c>
      <c r="D22" s="14">
        <f>Metrics!$G$48</f>
        <v>3.4663579800318334</v>
      </c>
      <c r="E22" s="14">
        <f>Metrics!$H$48</f>
        <v>2.1589200635256751</v>
      </c>
      <c r="F22" s="14">
        <f>Metrics!$I$48</f>
        <v>2.3548807970584749</v>
      </c>
      <c r="G22" s="14">
        <f>Metrics!$L$48</f>
        <v>2.0313025917199594</v>
      </c>
      <c r="H22" s="2"/>
      <c r="I22" s="2"/>
      <c r="J22" s="2"/>
    </row>
    <row r="23" spans="1:10" x14ac:dyDescent="0.2">
      <c r="A23" s="3" t="s">
        <v>593</v>
      </c>
      <c r="B23" s="9" t="s">
        <v>192</v>
      </c>
      <c r="C23" s="14">
        <f>Metrics!$F$49</f>
        <v>4.9874776386404296</v>
      </c>
      <c r="D23" s="14">
        <f>Metrics!$G$49</f>
        <v>3.2843432958596108</v>
      </c>
      <c r="E23" s="14">
        <f>Metrics!$H$49</f>
        <v>2.4597104945717732</v>
      </c>
      <c r="F23" s="14">
        <f>Metrics!$I$49</f>
        <v>2.6384053156146181</v>
      </c>
      <c r="G23" s="2"/>
      <c r="H23" s="2"/>
      <c r="I23" s="2"/>
      <c r="J23" s="2"/>
    </row>
    <row r="24" spans="1:10" x14ac:dyDescent="0.2">
      <c r="A24" s="3" t="s">
        <v>594</v>
      </c>
      <c r="B24" s="9" t="s">
        <v>192</v>
      </c>
      <c r="C24" s="14">
        <f>Metrics!$F$51</f>
        <v>2.5615763546798029</v>
      </c>
      <c r="D24" s="14">
        <f>Metrics!$G$51</f>
        <v>3.7784486762656759</v>
      </c>
      <c r="E24" s="14">
        <f>Metrics!$H$51</f>
        <v>4.6125137211855103</v>
      </c>
      <c r="F24" s="14">
        <f>Metrics!$I$51</f>
        <v>5.1249230769230767</v>
      </c>
      <c r="G24" s="14">
        <f>Metrics!$L$51</f>
        <v>4.6700906344410873</v>
      </c>
      <c r="H24" s="2"/>
      <c r="I24" s="2"/>
      <c r="J24" s="2"/>
    </row>
    <row r="25" spans="1:10" x14ac:dyDescent="0.2">
      <c r="A25" s="9" t="s">
        <v>595</v>
      </c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">
      <c r="A27" s="5" t="s">
        <v>596</v>
      </c>
      <c r="B27" s="5" t="s">
        <v>49</v>
      </c>
      <c r="C27" s="6" t="s">
        <v>597</v>
      </c>
      <c r="D27" s="6" t="s">
        <v>598</v>
      </c>
      <c r="E27" s="6" t="s">
        <v>599</v>
      </c>
      <c r="F27" s="6" t="s">
        <v>600</v>
      </c>
      <c r="G27" s="6" t="s">
        <v>601</v>
      </c>
      <c r="H27" s="6" t="s">
        <v>602</v>
      </c>
      <c r="I27" s="6"/>
      <c r="J27" s="6" t="s">
        <v>33</v>
      </c>
    </row>
    <row r="28" spans="1:10" x14ac:dyDescent="0.2">
      <c r="A28" s="3" t="s">
        <v>603</v>
      </c>
      <c r="B28" s="9" t="s">
        <v>49</v>
      </c>
      <c r="C28" s="10">
        <v>42</v>
      </c>
      <c r="D28" s="10">
        <v>11</v>
      </c>
      <c r="E28" s="10">
        <v>93</v>
      </c>
      <c r="F28" s="10">
        <v>12</v>
      </c>
      <c r="G28" s="10">
        <v>27</v>
      </c>
      <c r="H28" s="10">
        <v>107</v>
      </c>
      <c r="I28" s="2"/>
      <c r="J28" s="9" t="s">
        <v>604</v>
      </c>
    </row>
    <row r="29" spans="1:10" x14ac:dyDescent="0.2">
      <c r="A29" s="3" t="s">
        <v>605</v>
      </c>
      <c r="B29" s="9" t="s">
        <v>49</v>
      </c>
      <c r="C29" s="10">
        <v>63</v>
      </c>
      <c r="D29" s="10">
        <v>0</v>
      </c>
      <c r="E29" s="10">
        <v>0</v>
      </c>
      <c r="F29" s="10">
        <v>40</v>
      </c>
      <c r="G29" s="10">
        <v>23</v>
      </c>
      <c r="H29" s="10">
        <v>0</v>
      </c>
      <c r="I29" s="2"/>
      <c r="J29" s="9" t="s">
        <v>604</v>
      </c>
    </row>
    <row r="30" spans="1:10" x14ac:dyDescent="0.2">
      <c r="A30" s="3" t="s">
        <v>606</v>
      </c>
      <c r="B30" s="9" t="s">
        <v>49</v>
      </c>
      <c r="C30" s="10">
        <v>3</v>
      </c>
      <c r="D30" s="10">
        <v>44</v>
      </c>
      <c r="E30" s="10">
        <v>120</v>
      </c>
      <c r="F30" s="10">
        <v>0</v>
      </c>
      <c r="G30" s="10">
        <v>20</v>
      </c>
      <c r="H30" s="10">
        <v>147</v>
      </c>
      <c r="I30" s="2"/>
      <c r="J30" s="9" t="s">
        <v>604</v>
      </c>
    </row>
    <row r="31" spans="1:10" x14ac:dyDescent="0.2">
      <c r="A31" s="3" t="s">
        <v>607</v>
      </c>
      <c r="B31" s="9" t="s">
        <v>49</v>
      </c>
      <c r="C31" s="10">
        <v>8</v>
      </c>
      <c r="D31" s="10">
        <v>3</v>
      </c>
      <c r="E31" s="10">
        <v>100</v>
      </c>
      <c r="F31" s="10">
        <v>6</v>
      </c>
      <c r="G31" s="10">
        <v>5</v>
      </c>
      <c r="H31" s="10">
        <v>100</v>
      </c>
      <c r="I31" s="2"/>
      <c r="J31" s="9" t="s">
        <v>604</v>
      </c>
    </row>
    <row r="32" spans="1:10" x14ac:dyDescent="0.2">
      <c r="A32" s="3" t="s">
        <v>608</v>
      </c>
      <c r="B32" s="9" t="s">
        <v>49</v>
      </c>
      <c r="C32" s="10">
        <v>5</v>
      </c>
      <c r="D32" s="10">
        <v>15</v>
      </c>
      <c r="E32" s="10">
        <v>29</v>
      </c>
      <c r="F32" s="10">
        <v>5</v>
      </c>
      <c r="G32" s="10">
        <v>15</v>
      </c>
      <c r="H32" s="10">
        <v>29</v>
      </c>
      <c r="I32" s="2"/>
      <c r="J32" s="9" t="s">
        <v>604</v>
      </c>
    </row>
    <row r="33" spans="1:10" x14ac:dyDescent="0.2">
      <c r="A33" s="4" t="s">
        <v>570</v>
      </c>
      <c r="B33" s="9" t="s">
        <v>49</v>
      </c>
      <c r="C33" s="15">
        <f t="shared" ref="C33:H33" si="1">SUM(C28:C32)</f>
        <v>121</v>
      </c>
      <c r="D33" s="15">
        <f t="shared" si="1"/>
        <v>73</v>
      </c>
      <c r="E33" s="15">
        <f t="shared" si="1"/>
        <v>342</v>
      </c>
      <c r="F33" s="15">
        <f t="shared" si="1"/>
        <v>63</v>
      </c>
      <c r="G33" s="15">
        <f t="shared" si="1"/>
        <v>90</v>
      </c>
      <c r="H33" s="15">
        <f t="shared" si="1"/>
        <v>383</v>
      </c>
      <c r="I33" s="2"/>
      <c r="J33" s="2"/>
    </row>
    <row r="34" spans="1:10" x14ac:dyDescent="0.2">
      <c r="A34" s="3" t="s">
        <v>609</v>
      </c>
      <c r="B34" s="9" t="s">
        <v>150</v>
      </c>
      <c r="C34" s="2"/>
      <c r="D34" s="2"/>
      <c r="E34" s="2"/>
      <c r="F34" s="22">
        <f>SUM(F28:G30)/SUM(C28:D30)</f>
        <v>0.74846625766871167</v>
      </c>
      <c r="G34" s="2"/>
      <c r="H34" s="2"/>
      <c r="I34" s="2"/>
      <c r="J34" s="9" t="s">
        <v>610</v>
      </c>
    </row>
    <row r="35" spans="1:10" x14ac:dyDescent="0.2">
      <c r="A35" s="9" t="s">
        <v>611</v>
      </c>
      <c r="B35" s="2"/>
      <c r="C35" s="2"/>
      <c r="D35" s="2"/>
      <c r="E35" s="2"/>
      <c r="F35" s="2"/>
      <c r="G35" s="2"/>
      <c r="H35" s="2"/>
      <c r="I35" s="2"/>
      <c r="J3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README</vt:lpstr>
      <vt:lpstr>Hist</vt:lpstr>
      <vt:lpstr>Metrics</vt:lpstr>
      <vt:lpstr>Assumptions</vt:lpstr>
      <vt:lpstr>Beta</vt:lpstr>
      <vt:lpstr>WACC</vt:lpstr>
      <vt:lpstr>DCF</vt:lpstr>
      <vt:lpstr>ReverseDCF</vt:lpstr>
      <vt:lpstr>Multiples</vt:lpstr>
      <vt:lpstr>Scenarios</vt:lpstr>
      <vt:lpstr>Sensitivity</vt:lpstr>
      <vt:lpstr>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Bakdaulet Bolat</cp:lastModifiedBy>
  <dcterms:created xsi:type="dcterms:W3CDTF">2026-10-14T08:40:04Z</dcterms:created>
  <dcterms:modified xsi:type="dcterms:W3CDTF">2026-10-14T08:48:45Z</dcterms:modified>
</cp:coreProperties>
</file>